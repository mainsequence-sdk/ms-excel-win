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pwork\msms_xloil\uv_test\ms-excel-win\examples\"/>
    </mc:Choice>
  </mc:AlternateContent>
  <xr:revisionPtr revIDLastSave="0" documentId="13_ncr:1_{005B933E-F3DA-4D5D-8EBE-065729EEB547}" xr6:coauthVersionLast="47" xr6:coauthVersionMax="47" xr10:uidLastSave="{00000000-0000-0000-0000-000000000000}"/>
  <bookViews>
    <workbookView xWindow="-108" yWindow="-108" windowWidth="23256" windowHeight="13176" xr2:uid="{3A9BCFE7-D97F-4DB8-8393-A5035DFE7468}"/>
  </bookViews>
  <sheets>
    <sheet name="data_from_identifier" sheetId="1" r:id="rId1"/>
    <sheet name="Quantlib_exampl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2" l="1"/>
  <c r="D7" i="2"/>
  <c r="D11" i="1"/>
  <c r="C11" i="1"/>
  <c r="D30" i="2" a="1"/>
  <c r="H12" i="1" a="1"/>
  <c r="B18" i="1" a="1"/>
  <c r="B35" i="1" a="1"/>
  <c r="J10" i="2" a="1"/>
  <c r="B3" i="1"/>
  <c r="H10" i="2" a="1"/>
  <c r="B5" i="1" a="1"/>
  <c r="D35" i="2" l="1"/>
  <c r="E40" i="2"/>
  <c r="F45" i="2"/>
  <c r="D51" i="2"/>
  <c r="E56" i="2"/>
  <c r="F61" i="2"/>
  <c r="D67" i="2"/>
  <c r="E72" i="2"/>
  <c r="F77" i="2"/>
  <c r="D83" i="2"/>
  <c r="E88" i="2"/>
  <c r="F93" i="2"/>
  <c r="D99" i="2"/>
  <c r="E104" i="2"/>
  <c r="F109" i="2"/>
  <c r="D115" i="2"/>
  <c r="E120" i="2"/>
  <c r="F125" i="2"/>
  <c r="D131" i="2"/>
  <c r="E136" i="2"/>
  <c r="F141" i="2"/>
  <c r="D147" i="2"/>
  <c r="E152" i="2"/>
  <c r="F157" i="2"/>
  <c r="E42" i="2"/>
  <c r="F63" i="2"/>
  <c r="F79" i="2"/>
  <c r="E90" i="2"/>
  <c r="F111" i="2"/>
  <c r="D133" i="2"/>
  <c r="E154" i="2"/>
  <c r="D32" i="2"/>
  <c r="D64" i="2"/>
  <c r="E85" i="2"/>
  <c r="F106" i="2"/>
  <c r="D128" i="2"/>
  <c r="D144" i="2"/>
  <c r="E32" i="2"/>
  <c r="F53" i="2"/>
  <c r="E80" i="2"/>
  <c r="F101" i="2"/>
  <c r="D123" i="2"/>
  <c r="E144" i="2"/>
  <c r="F32" i="2"/>
  <c r="D54" i="2"/>
  <c r="E75" i="2"/>
  <c r="F96" i="2"/>
  <c r="E123" i="2"/>
  <c r="E139" i="2"/>
  <c r="E155" i="2"/>
  <c r="D30" i="2"/>
  <c r="E35" i="2"/>
  <c r="F40" i="2"/>
  <c r="D46" i="2"/>
  <c r="E51" i="2"/>
  <c r="F56" i="2"/>
  <c r="D62" i="2"/>
  <c r="E67" i="2"/>
  <c r="F72" i="2"/>
  <c r="D78" i="2"/>
  <c r="E83" i="2"/>
  <c r="F88" i="2"/>
  <c r="D94" i="2"/>
  <c r="E99" i="2"/>
  <c r="F104" i="2"/>
  <c r="D110" i="2"/>
  <c r="E115" i="2"/>
  <c r="F120" i="2"/>
  <c r="D126" i="2"/>
  <c r="E131" i="2"/>
  <c r="F136" i="2"/>
  <c r="D142" i="2"/>
  <c r="E147" i="2"/>
  <c r="F152" i="2"/>
  <c r="D158" i="2"/>
  <c r="F30" i="2"/>
  <c r="E41" i="2"/>
  <c r="D52" i="2"/>
  <c r="F62" i="2"/>
  <c r="E73" i="2"/>
  <c r="D84" i="2"/>
  <c r="F94" i="2"/>
  <c r="E105" i="2"/>
  <c r="D116" i="2"/>
  <c r="F126" i="2"/>
  <c r="F142" i="2"/>
  <c r="E153" i="2"/>
  <c r="E36" i="2"/>
  <c r="D47" i="2"/>
  <c r="D63" i="2"/>
  <c r="F73" i="2"/>
  <c r="E84" i="2"/>
  <c r="D95" i="2"/>
  <c r="F105" i="2"/>
  <c r="E116" i="2"/>
  <c r="D127" i="2"/>
  <c r="F137" i="2"/>
  <c r="E148" i="2"/>
  <c r="D159" i="2"/>
  <c r="D42" i="2"/>
  <c r="F52" i="2"/>
  <c r="E63" i="2"/>
  <c r="D74" i="2"/>
  <c r="F84" i="2"/>
  <c r="F100" i="2"/>
  <c r="E111" i="2"/>
  <c r="D122" i="2"/>
  <c r="D138" i="2"/>
  <c r="D154" i="2"/>
  <c r="F31" i="2"/>
  <c r="D53" i="2"/>
  <c r="E74" i="2"/>
  <c r="D101" i="2"/>
  <c r="E122" i="2"/>
  <c r="F143" i="2"/>
  <c r="E37" i="2"/>
  <c r="E69" i="2"/>
  <c r="F90" i="2"/>
  <c r="D112" i="2"/>
  <c r="E133" i="2"/>
  <c r="F154" i="2"/>
  <c r="F37" i="2"/>
  <c r="F69" i="2"/>
  <c r="D91" i="2"/>
  <c r="E112" i="2"/>
  <c r="F133" i="2"/>
  <c r="D155" i="2"/>
  <c r="D38" i="2"/>
  <c r="D70" i="2"/>
  <c r="D86" i="2"/>
  <c r="E107" i="2"/>
  <c r="F128" i="2"/>
  <c r="D150" i="2"/>
  <c r="E30" i="2"/>
  <c r="F35" i="2"/>
  <c r="D41" i="2"/>
  <c r="E46" i="2"/>
  <c r="F51" i="2"/>
  <c r="D57" i="2"/>
  <c r="E62" i="2"/>
  <c r="F67" i="2"/>
  <c r="D73" i="2"/>
  <c r="E78" i="2"/>
  <c r="F83" i="2"/>
  <c r="D89" i="2"/>
  <c r="E94" i="2"/>
  <c r="F99" i="2"/>
  <c r="D105" i="2"/>
  <c r="E110" i="2"/>
  <c r="F115" i="2"/>
  <c r="D121" i="2"/>
  <c r="E126" i="2"/>
  <c r="F131" i="2"/>
  <c r="D137" i="2"/>
  <c r="E142" i="2"/>
  <c r="F147" i="2"/>
  <c r="D153" i="2"/>
  <c r="E158" i="2"/>
  <c r="D36" i="2"/>
  <c r="F46" i="2"/>
  <c r="E57" i="2"/>
  <c r="D68" i="2"/>
  <c r="F78" i="2"/>
  <c r="E89" i="2"/>
  <c r="D100" i="2"/>
  <c r="F110" i="2"/>
  <c r="E121" i="2"/>
  <c r="D132" i="2"/>
  <c r="E137" i="2"/>
  <c r="D148" i="2"/>
  <c r="F158" i="2"/>
  <c r="D31" i="2"/>
  <c r="F41" i="2"/>
  <c r="E52" i="2"/>
  <c r="F57" i="2"/>
  <c r="E68" i="2"/>
  <c r="D79" i="2"/>
  <c r="F89" i="2"/>
  <c r="E100" i="2"/>
  <c r="D111" i="2"/>
  <c r="F121" i="2"/>
  <c r="E132" i="2"/>
  <c r="D143" i="2"/>
  <c r="F153" i="2"/>
  <c r="F36" i="2"/>
  <c r="E47" i="2"/>
  <c r="D58" i="2"/>
  <c r="F68" i="2"/>
  <c r="E79" i="2"/>
  <c r="D90" i="2"/>
  <c r="D106" i="2"/>
  <c r="F116" i="2"/>
  <c r="F132" i="2"/>
  <c r="E143" i="2"/>
  <c r="E159" i="2"/>
  <c r="D37" i="2"/>
  <c r="E58" i="2"/>
  <c r="D85" i="2"/>
  <c r="E106" i="2"/>
  <c r="F127" i="2"/>
  <c r="D149" i="2"/>
  <c r="F42" i="2"/>
  <c r="F58" i="2"/>
  <c r="D80" i="2"/>
  <c r="E101" i="2"/>
  <c r="F122" i="2"/>
  <c r="E149" i="2"/>
  <c r="E48" i="2"/>
  <c r="D59" i="2"/>
  <c r="D75" i="2"/>
  <c r="E96" i="2"/>
  <c r="F117" i="2"/>
  <c r="D139" i="2"/>
  <c r="E160" i="2"/>
  <c r="F48" i="2"/>
  <c r="E59" i="2"/>
  <c r="F80" i="2"/>
  <c r="D102" i="2"/>
  <c r="E31" i="2"/>
  <c r="E95" i="2"/>
  <c r="E127" i="2"/>
  <c r="F148" i="2"/>
  <c r="F47" i="2"/>
  <c r="D69" i="2"/>
  <c r="F95" i="2"/>
  <c r="D117" i="2"/>
  <c r="E138" i="2"/>
  <c r="F159" i="2"/>
  <c r="D48" i="2"/>
  <c r="E53" i="2"/>
  <c r="F74" i="2"/>
  <c r="D96" i="2"/>
  <c r="E117" i="2"/>
  <c r="F138" i="2"/>
  <c r="D160" i="2"/>
  <c r="D43" i="2"/>
  <c r="E64" i="2"/>
  <c r="F85" i="2"/>
  <c r="D107" i="2"/>
  <c r="E128" i="2"/>
  <c r="F149" i="2"/>
  <c r="E43" i="2"/>
  <c r="F64" i="2"/>
  <c r="E91" i="2"/>
  <c r="F112" i="2"/>
  <c r="D134" i="2"/>
  <c r="F144" i="2"/>
  <c r="F160" i="2"/>
  <c r="D33" i="2"/>
  <c r="D45" i="2"/>
  <c r="E60" i="2"/>
  <c r="F75" i="2"/>
  <c r="F87" i="2"/>
  <c r="D103" i="2"/>
  <c r="D118" i="2"/>
  <c r="D130" i="2"/>
  <c r="E145" i="2"/>
  <c r="E157" i="2"/>
  <c r="E33" i="2"/>
  <c r="E45" i="2"/>
  <c r="F60" i="2"/>
  <c r="D76" i="2"/>
  <c r="D88" i="2"/>
  <c r="E103" i="2"/>
  <c r="E118" i="2"/>
  <c r="E130" i="2"/>
  <c r="F145" i="2"/>
  <c r="F33" i="2"/>
  <c r="D49" i="2"/>
  <c r="D61" i="2"/>
  <c r="E76" i="2"/>
  <c r="F91" i="2"/>
  <c r="F103" i="2"/>
  <c r="F118" i="2"/>
  <c r="F130" i="2"/>
  <c r="D146" i="2"/>
  <c r="E49" i="2"/>
  <c r="E61" i="2"/>
  <c r="F76" i="2"/>
  <c r="D92" i="2"/>
  <c r="D104" i="2"/>
  <c r="E134" i="2"/>
  <c r="E146" i="2"/>
  <c r="E34" i="2"/>
  <c r="D65" i="2"/>
  <c r="E92" i="2"/>
  <c r="E119" i="2"/>
  <c r="F146" i="2"/>
  <c r="D50" i="2"/>
  <c r="E77" i="2"/>
  <c r="D108" i="2"/>
  <c r="E150" i="2"/>
  <c r="E50" i="2"/>
  <c r="F65" i="2"/>
  <c r="D93" i="2"/>
  <c r="E135" i="2"/>
  <c r="F50" i="2"/>
  <c r="E81" i="2"/>
  <c r="F123" i="2"/>
  <c r="D39" i="2"/>
  <c r="F81" i="2"/>
  <c r="D124" i="2"/>
  <c r="E39" i="2"/>
  <c r="D82" i="2"/>
  <c r="E124" i="2"/>
  <c r="F39" i="2"/>
  <c r="E82" i="2"/>
  <c r="F124" i="2"/>
  <c r="D152" i="2"/>
  <c r="F70" i="2"/>
  <c r="F82" i="2"/>
  <c r="D125" i="2"/>
  <c r="F43" i="2"/>
  <c r="E86" i="2"/>
  <c r="E125" i="2"/>
  <c r="D156" i="2"/>
  <c r="D44" i="2"/>
  <c r="F86" i="2"/>
  <c r="D129" i="2"/>
  <c r="E44" i="2"/>
  <c r="D87" i="2"/>
  <c r="E129" i="2"/>
  <c r="F44" i="2"/>
  <c r="E87" i="2"/>
  <c r="F129" i="2"/>
  <c r="D34" i="2"/>
  <c r="D119" i="2"/>
  <c r="F49" i="2"/>
  <c r="D77" i="2"/>
  <c r="F107" i="2"/>
  <c r="F134" i="2"/>
  <c r="F34" i="2"/>
  <c r="F92" i="2"/>
  <c r="F119" i="2"/>
  <c r="E38" i="2"/>
  <c r="D81" i="2"/>
  <c r="D120" i="2"/>
  <c r="F38" i="2"/>
  <c r="E93" i="2"/>
  <c r="D151" i="2"/>
  <c r="E66" i="2"/>
  <c r="D97" i="2"/>
  <c r="D136" i="2"/>
  <c r="F66" i="2"/>
  <c r="E97" i="2"/>
  <c r="F139" i="2"/>
  <c r="E70" i="2"/>
  <c r="F97" i="2"/>
  <c r="D140" i="2"/>
  <c r="D40" i="2"/>
  <c r="E113" i="2"/>
  <c r="F155" i="2"/>
  <c r="F55" i="2"/>
  <c r="E98" i="2"/>
  <c r="D56" i="2"/>
  <c r="F98" i="2"/>
  <c r="D141" i="2"/>
  <c r="F71" i="2"/>
  <c r="E102" i="2"/>
  <c r="E141" i="2"/>
  <c r="D72" i="2"/>
  <c r="F102" i="2"/>
  <c r="D145" i="2"/>
  <c r="E65" i="2"/>
  <c r="D135" i="2"/>
  <c r="E108" i="2"/>
  <c r="F150" i="2"/>
  <c r="D66" i="2"/>
  <c r="F108" i="2"/>
  <c r="F135" i="2"/>
  <c r="E54" i="2"/>
  <c r="D109" i="2"/>
  <c r="E151" i="2"/>
  <c r="F54" i="2"/>
  <c r="E109" i="2"/>
  <c r="F151" i="2"/>
  <c r="D55" i="2"/>
  <c r="D113" i="2"/>
  <c r="E55" i="2"/>
  <c r="D98" i="2"/>
  <c r="E140" i="2"/>
  <c r="D71" i="2"/>
  <c r="F113" i="2"/>
  <c r="F140" i="2"/>
  <c r="E71" i="2"/>
  <c r="D114" i="2"/>
  <c r="E156" i="2"/>
  <c r="F59" i="2"/>
  <c r="E114" i="2"/>
  <c r="F156" i="2"/>
  <c r="D60" i="2"/>
  <c r="F114" i="2"/>
  <c r="D157" i="2"/>
  <c r="B22" i="1"/>
  <c r="B30" i="1"/>
  <c r="C23" i="1"/>
  <c r="C31" i="1"/>
  <c r="B19" i="1"/>
  <c r="B28" i="1"/>
  <c r="C28" i="1"/>
  <c r="B20" i="1"/>
  <c r="C19" i="1"/>
  <c r="B29" i="1"/>
  <c r="C20" i="1"/>
  <c r="C29" i="1"/>
  <c r="B21" i="1"/>
  <c r="C30" i="1"/>
  <c r="C26" i="1"/>
  <c r="B27" i="1"/>
  <c r="C22" i="1"/>
  <c r="B23" i="1"/>
  <c r="B24" i="1"/>
  <c r="C21" i="1"/>
  <c r="B32" i="1"/>
  <c r="C24" i="1"/>
  <c r="B25" i="1"/>
  <c r="C25" i="1"/>
  <c r="B26" i="1"/>
  <c r="C27" i="1"/>
  <c r="B31" i="1"/>
  <c r="B18" i="1"/>
  <c r="C18" i="1"/>
  <c r="C32" i="1"/>
  <c r="W12" i="1"/>
  <c r="H13" i="1"/>
  <c r="X13" i="1"/>
  <c r="I14" i="1"/>
  <c r="Y14" i="1"/>
  <c r="J15" i="1"/>
  <c r="Z15" i="1"/>
  <c r="K16" i="1"/>
  <c r="AA16" i="1"/>
  <c r="L17" i="1"/>
  <c r="AB17" i="1"/>
  <c r="M18" i="1"/>
  <c r="AC18" i="1"/>
  <c r="N19" i="1"/>
  <c r="AD19" i="1"/>
  <c r="O20" i="1"/>
  <c r="AE20" i="1"/>
  <c r="P21" i="1"/>
  <c r="AF21" i="1"/>
  <c r="Q22" i="1"/>
  <c r="AG22" i="1"/>
  <c r="R23" i="1"/>
  <c r="AH23" i="1"/>
  <c r="S24" i="1"/>
  <c r="AI24" i="1"/>
  <c r="T25" i="1"/>
  <c r="AJ25" i="1"/>
  <c r="U26" i="1"/>
  <c r="AK26" i="1"/>
  <c r="V27" i="1"/>
  <c r="AL27" i="1"/>
  <c r="W28" i="1"/>
  <c r="H29" i="1"/>
  <c r="X29" i="1"/>
  <c r="I30" i="1"/>
  <c r="Y30" i="1"/>
  <c r="J31" i="1"/>
  <c r="Z31" i="1"/>
  <c r="K32" i="1"/>
  <c r="AA32" i="1"/>
  <c r="L33" i="1"/>
  <c r="AB33" i="1"/>
  <c r="M34" i="1"/>
  <c r="AC34" i="1"/>
  <c r="N35" i="1"/>
  <c r="AD35" i="1"/>
  <c r="O36" i="1"/>
  <c r="AE36" i="1"/>
  <c r="P37" i="1"/>
  <c r="AF37" i="1"/>
  <c r="Q38" i="1"/>
  <c r="AG38" i="1"/>
  <c r="R39" i="1"/>
  <c r="AH39" i="1"/>
  <c r="S40" i="1"/>
  <c r="AI40" i="1"/>
  <c r="T41" i="1"/>
  <c r="AJ41" i="1"/>
  <c r="U42" i="1"/>
  <c r="AK42" i="1"/>
  <c r="V43" i="1"/>
  <c r="AL43" i="1"/>
  <c r="W44" i="1"/>
  <c r="H45" i="1"/>
  <c r="X45" i="1"/>
  <c r="I46" i="1"/>
  <c r="Y46" i="1"/>
  <c r="J47" i="1"/>
  <c r="Z47" i="1"/>
  <c r="K48" i="1"/>
  <c r="AA48" i="1"/>
  <c r="L49" i="1"/>
  <c r="AB49" i="1"/>
  <c r="M50" i="1"/>
  <c r="AC50" i="1"/>
  <c r="N51" i="1"/>
  <c r="AD51" i="1"/>
  <c r="O52" i="1"/>
  <c r="AE52" i="1"/>
  <c r="P53" i="1"/>
  <c r="AF53" i="1"/>
  <c r="Q54" i="1"/>
  <c r="AG54" i="1"/>
  <c r="R55" i="1"/>
  <c r="H12" i="1"/>
  <c r="Y12" i="1"/>
  <c r="K13" i="1"/>
  <c r="AB13" i="1"/>
  <c r="N14" i="1"/>
  <c r="AE14" i="1"/>
  <c r="Q15" i="1"/>
  <c r="AH15" i="1"/>
  <c r="T16" i="1"/>
  <c r="AK16" i="1"/>
  <c r="W17" i="1"/>
  <c r="I18" i="1"/>
  <c r="Z18" i="1"/>
  <c r="L19" i="1"/>
  <c r="AC19" i="1"/>
  <c r="P20" i="1"/>
  <c r="AG20" i="1"/>
  <c r="S21" i="1"/>
  <c r="AJ21" i="1"/>
  <c r="V22" i="1"/>
  <c r="H23" i="1"/>
  <c r="Y23" i="1"/>
  <c r="K24" i="1"/>
  <c r="AB24" i="1"/>
  <c r="N25" i="1"/>
  <c r="AE25" i="1"/>
  <c r="Q26" i="1"/>
  <c r="AH26" i="1"/>
  <c r="T27" i="1"/>
  <c r="AK27" i="1"/>
  <c r="X28" i="1"/>
  <c r="J29" i="1"/>
  <c r="AA29" i="1"/>
  <c r="M30" i="1"/>
  <c r="AD30" i="1"/>
  <c r="P31" i="1"/>
  <c r="AG31" i="1"/>
  <c r="S32" i="1"/>
  <c r="AJ32" i="1"/>
  <c r="V33" i="1"/>
  <c r="H34" i="1"/>
  <c r="Y34" i="1"/>
  <c r="K35" i="1"/>
  <c r="AB35" i="1"/>
  <c r="N36" i="1"/>
  <c r="AF36" i="1"/>
  <c r="R37" i="1"/>
  <c r="AI37" i="1"/>
  <c r="U38" i="1"/>
  <c r="AL38" i="1"/>
  <c r="X39" i="1"/>
  <c r="J40" i="1"/>
  <c r="AA40" i="1"/>
  <c r="M41" i="1"/>
  <c r="AD41" i="1"/>
  <c r="P42" i="1"/>
  <c r="AG42" i="1"/>
  <c r="S43" i="1"/>
  <c r="AJ43" i="1"/>
  <c r="V44" i="1"/>
  <c r="I45" i="1"/>
  <c r="Z45" i="1"/>
  <c r="L46" i="1"/>
  <c r="AC46" i="1"/>
  <c r="O47" i="1"/>
  <c r="AF47" i="1"/>
  <c r="R48" i="1"/>
  <c r="AI48" i="1"/>
  <c r="U49" i="1"/>
  <c r="AL49" i="1"/>
  <c r="X50" i="1"/>
  <c r="J51" i="1"/>
  <c r="AA51" i="1"/>
  <c r="M52" i="1"/>
  <c r="AD52" i="1"/>
  <c r="Q53" i="1"/>
  <c r="AH53" i="1"/>
  <c r="T54" i="1"/>
  <c r="AK54" i="1"/>
  <c r="W55" i="1"/>
  <c r="H56" i="1"/>
  <c r="X56" i="1"/>
  <c r="I57" i="1"/>
  <c r="Y57" i="1"/>
  <c r="J58" i="1"/>
  <c r="Z58" i="1"/>
  <c r="K59" i="1"/>
  <c r="AA59" i="1"/>
  <c r="L60" i="1"/>
  <c r="AB60" i="1"/>
  <c r="M61" i="1"/>
  <c r="AC61" i="1"/>
  <c r="N62" i="1"/>
  <c r="AD62" i="1"/>
  <c r="O63" i="1"/>
  <c r="AE63" i="1"/>
  <c r="P64" i="1"/>
  <c r="AF64" i="1"/>
  <c r="Q65" i="1"/>
  <c r="AG65" i="1"/>
  <c r="R66" i="1"/>
  <c r="AH66" i="1"/>
  <c r="S67" i="1"/>
  <c r="AI67" i="1"/>
  <c r="T68" i="1"/>
  <c r="AJ68" i="1"/>
  <c r="U69" i="1"/>
  <c r="AK69" i="1"/>
  <c r="V70" i="1"/>
  <c r="AL70" i="1"/>
  <c r="W71" i="1"/>
  <c r="H72" i="1"/>
  <c r="X72" i="1"/>
  <c r="I73" i="1"/>
  <c r="Y73" i="1"/>
  <c r="J74" i="1"/>
  <c r="Z74" i="1"/>
  <c r="K75" i="1"/>
  <c r="AA75" i="1"/>
  <c r="L76" i="1"/>
  <c r="AB76" i="1"/>
  <c r="M77" i="1"/>
  <c r="AC77" i="1"/>
  <c r="N78" i="1"/>
  <c r="AD78" i="1"/>
  <c r="O79" i="1"/>
  <c r="AE79" i="1"/>
  <c r="P80" i="1"/>
  <c r="AF80" i="1"/>
  <c r="Q81" i="1"/>
  <c r="AG81" i="1"/>
  <c r="R82" i="1"/>
  <c r="AH82" i="1"/>
  <c r="S83" i="1"/>
  <c r="AI83" i="1"/>
  <c r="T84" i="1"/>
  <c r="AJ84" i="1"/>
  <c r="U85" i="1"/>
  <c r="AK85" i="1"/>
  <c r="V86" i="1"/>
  <c r="AL86" i="1"/>
  <c r="W87" i="1"/>
  <c r="H88" i="1"/>
  <c r="X88" i="1"/>
  <c r="I89" i="1"/>
  <c r="Y89" i="1"/>
  <c r="J90" i="1"/>
  <c r="Z90" i="1"/>
  <c r="K91" i="1"/>
  <c r="AA91" i="1"/>
  <c r="L92" i="1"/>
  <c r="AB92" i="1"/>
  <c r="M93" i="1"/>
  <c r="AC93" i="1"/>
  <c r="N94" i="1"/>
  <c r="AD94" i="1"/>
  <c r="O95" i="1"/>
  <c r="AE95" i="1"/>
  <c r="P96" i="1"/>
  <c r="AF96" i="1"/>
  <c r="Q97" i="1"/>
  <c r="AG97" i="1"/>
  <c r="R98" i="1"/>
  <c r="AH98" i="1"/>
  <c r="S99" i="1"/>
  <c r="AI99" i="1"/>
  <c r="T100" i="1"/>
  <c r="AJ100" i="1"/>
  <c r="I12" i="1"/>
  <c r="Z12" i="1"/>
  <c r="L13" i="1"/>
  <c r="AC13" i="1"/>
  <c r="O14" i="1"/>
  <c r="AF14" i="1"/>
  <c r="R15" i="1"/>
  <c r="AI15" i="1"/>
  <c r="U16" i="1"/>
  <c r="AL16" i="1"/>
  <c r="X17" i="1"/>
  <c r="J18" i="1"/>
  <c r="AA18" i="1"/>
  <c r="M19" i="1"/>
  <c r="AE19" i="1"/>
  <c r="Q20" i="1"/>
  <c r="AH20" i="1"/>
  <c r="T21" i="1"/>
  <c r="AK21" i="1"/>
  <c r="W22" i="1"/>
  <c r="I23" i="1"/>
  <c r="Z23" i="1"/>
  <c r="L24" i="1"/>
  <c r="AC24" i="1"/>
  <c r="O25" i="1"/>
  <c r="AF25" i="1"/>
  <c r="R26" i="1"/>
  <c r="AI26" i="1"/>
  <c r="U27" i="1"/>
  <c r="H28" i="1"/>
  <c r="Y28" i="1"/>
  <c r="K29" i="1"/>
  <c r="AB29" i="1"/>
  <c r="N30" i="1"/>
  <c r="AE30" i="1"/>
  <c r="Q31" i="1"/>
  <c r="AH31" i="1"/>
  <c r="T32" i="1"/>
  <c r="AK32" i="1"/>
  <c r="W33" i="1"/>
  <c r="I34" i="1"/>
  <c r="Z34" i="1"/>
  <c r="L35" i="1"/>
  <c r="AC35" i="1"/>
  <c r="P36" i="1"/>
  <c r="AG36" i="1"/>
  <c r="S37" i="1"/>
  <c r="AJ37" i="1"/>
  <c r="V38" i="1"/>
  <c r="H39" i="1"/>
  <c r="Y39" i="1"/>
  <c r="K40" i="1"/>
  <c r="AB40" i="1"/>
  <c r="N41" i="1"/>
  <c r="AE41" i="1"/>
  <c r="Q42" i="1"/>
  <c r="AH42" i="1"/>
  <c r="T43" i="1"/>
  <c r="AK43" i="1"/>
  <c r="X44" i="1"/>
  <c r="J45" i="1"/>
  <c r="AA45" i="1"/>
  <c r="M46" i="1"/>
  <c r="AD46" i="1"/>
  <c r="P47" i="1"/>
  <c r="AG47" i="1"/>
  <c r="S48" i="1"/>
  <c r="AJ48" i="1"/>
  <c r="V49" i="1"/>
  <c r="H50" i="1"/>
  <c r="Y50" i="1"/>
  <c r="K51" i="1"/>
  <c r="AB51" i="1"/>
  <c r="N52" i="1"/>
  <c r="AF52" i="1"/>
  <c r="R53" i="1"/>
  <c r="AI53" i="1"/>
  <c r="U54" i="1"/>
  <c r="AL54" i="1"/>
  <c r="X55" i="1"/>
  <c r="I56" i="1"/>
  <c r="Y56" i="1"/>
  <c r="J57" i="1"/>
  <c r="Z57" i="1"/>
  <c r="K58" i="1"/>
  <c r="J12" i="1"/>
  <c r="AC12" i="1"/>
  <c r="Q13" i="1"/>
  <c r="AJ13" i="1"/>
  <c r="X14" i="1"/>
  <c r="M15" i="1"/>
  <c r="AF15" i="1"/>
  <c r="V16" i="1"/>
  <c r="J17" i="1"/>
  <c r="AD17" i="1"/>
  <c r="R18" i="1"/>
  <c r="AK18" i="1"/>
  <c r="Y19" i="1"/>
  <c r="M20" i="1"/>
  <c r="AI20" i="1"/>
  <c r="W21" i="1"/>
  <c r="K22" i="1"/>
  <c r="AD22" i="1"/>
  <c r="S23" i="1"/>
  <c r="AL23" i="1"/>
  <c r="Z24" i="1"/>
  <c r="P25" i="1"/>
  <c r="AI25" i="1"/>
  <c r="X26" i="1"/>
  <c r="L27" i="1"/>
  <c r="AE27" i="1"/>
  <c r="S28" i="1"/>
  <c r="AL28" i="1"/>
  <c r="AC29" i="1"/>
  <c r="Q30" i="1"/>
  <c r="AJ30" i="1"/>
  <c r="X31" i="1"/>
  <c r="M32" i="1"/>
  <c r="AF32" i="1"/>
  <c r="T33" i="1"/>
  <c r="J34" i="1"/>
  <c r="AD34" i="1"/>
  <c r="R35" i="1"/>
  <c r="AK35" i="1"/>
  <c r="Y36" i="1"/>
  <c r="M37" i="1"/>
  <c r="AG37" i="1"/>
  <c r="W38" i="1"/>
  <c r="K39" i="1"/>
  <c r="AD39" i="1"/>
  <c r="R40" i="1"/>
  <c r="AL40" i="1"/>
  <c r="Z41" i="1"/>
  <c r="N42" i="1"/>
  <c r="AI42" i="1"/>
  <c r="X43" i="1"/>
  <c r="L44" i="1"/>
  <c r="AE44" i="1"/>
  <c r="S45" i="1"/>
  <c r="AL45" i="1"/>
  <c r="AA46" i="1"/>
  <c r="Q47" i="1"/>
  <c r="AJ47" i="1"/>
  <c r="X48" i="1"/>
  <c r="M49" i="1"/>
  <c r="AF49" i="1"/>
  <c r="T50" i="1"/>
  <c r="H51" i="1"/>
  <c r="AC51" i="1"/>
  <c r="R52" i="1"/>
  <c r="AK52" i="1"/>
  <c r="Y53" i="1"/>
  <c r="M54" i="1"/>
  <c r="AF54" i="1"/>
  <c r="U55" i="1"/>
  <c r="J56" i="1"/>
  <c r="AB56" i="1"/>
  <c r="O57" i="1"/>
  <c r="AG57" i="1"/>
  <c r="T58" i="1"/>
  <c r="AK58" i="1"/>
  <c r="W59" i="1"/>
  <c r="I60" i="1"/>
  <c r="Z60" i="1"/>
  <c r="L61" i="1"/>
  <c r="AD61" i="1"/>
  <c r="P62" i="1"/>
  <c r="AG62" i="1"/>
  <c r="S63" i="1"/>
  <c r="AJ63" i="1"/>
  <c r="V64" i="1"/>
  <c r="H65" i="1"/>
  <c r="Y65" i="1"/>
  <c r="K66" i="1"/>
  <c r="AB66" i="1"/>
  <c r="N67" i="1"/>
  <c r="AE67" i="1"/>
  <c r="Q68" i="1"/>
  <c r="AH68" i="1"/>
  <c r="T69" i="1"/>
  <c r="AL69" i="1"/>
  <c r="X70" i="1"/>
  <c r="J71" i="1"/>
  <c r="AA71" i="1"/>
  <c r="M72" i="1"/>
  <c r="AD72" i="1"/>
  <c r="P73" i="1"/>
  <c r="AG73" i="1"/>
  <c r="S74" i="1"/>
  <c r="AJ74" i="1"/>
  <c r="V75" i="1"/>
  <c r="H76" i="1"/>
  <c r="Y76" i="1"/>
  <c r="K77" i="1"/>
  <c r="AB77" i="1"/>
  <c r="O78" i="1"/>
  <c r="AF78" i="1"/>
  <c r="R79" i="1"/>
  <c r="AI79" i="1"/>
  <c r="U80" i="1"/>
  <c r="AL80" i="1"/>
  <c r="X81" i="1"/>
  <c r="J82" i="1"/>
  <c r="AA82" i="1"/>
  <c r="M83" i="1"/>
  <c r="AD83" i="1"/>
  <c r="P84" i="1"/>
  <c r="AG84" i="1"/>
  <c r="S85" i="1"/>
  <c r="AJ85" i="1"/>
  <c r="W86" i="1"/>
  <c r="I87" i="1"/>
  <c r="Z87" i="1"/>
  <c r="L88" i="1"/>
  <c r="AC88" i="1"/>
  <c r="O89" i="1"/>
  <c r="AF89" i="1"/>
  <c r="R90" i="1"/>
  <c r="AI90" i="1"/>
  <c r="U91" i="1"/>
  <c r="AL91" i="1"/>
  <c r="X92" i="1"/>
  <c r="J93" i="1"/>
  <c r="AA93" i="1"/>
  <c r="M94" i="1"/>
  <c r="AE94" i="1"/>
  <c r="Q95" i="1"/>
  <c r="AH95" i="1"/>
  <c r="T96" i="1"/>
  <c r="AK96" i="1"/>
  <c r="W97" i="1"/>
  <c r="I98" i="1"/>
  <c r="Z98" i="1"/>
  <c r="L99" i="1"/>
  <c r="AC99" i="1"/>
  <c r="O100" i="1"/>
  <c r="AF100" i="1"/>
  <c r="R101" i="1"/>
  <c r="AH101" i="1"/>
  <c r="S102" i="1"/>
  <c r="AI102" i="1"/>
  <c r="T103" i="1"/>
  <c r="AJ103" i="1"/>
  <c r="U104" i="1"/>
  <c r="AK104" i="1"/>
  <c r="V105" i="1"/>
  <c r="AL105" i="1"/>
  <c r="W106" i="1"/>
  <c r="H107" i="1"/>
  <c r="X107" i="1"/>
  <c r="I108" i="1"/>
  <c r="Y108" i="1"/>
  <c r="J109" i="1"/>
  <c r="Z109" i="1"/>
  <c r="K110" i="1"/>
  <c r="K12" i="1"/>
  <c r="AD12" i="1"/>
  <c r="R13" i="1"/>
  <c r="AK13" i="1"/>
  <c r="Z14" i="1"/>
  <c r="N15" i="1"/>
  <c r="AG15" i="1"/>
  <c r="W16" i="1"/>
  <c r="K17" i="1"/>
  <c r="AE17" i="1"/>
  <c r="S18" i="1"/>
  <c r="AL18" i="1"/>
  <c r="Z19" i="1"/>
  <c r="N20" i="1"/>
  <c r="AJ20" i="1"/>
  <c r="X21" i="1"/>
  <c r="L22" i="1"/>
  <c r="AE22" i="1"/>
  <c r="T23" i="1"/>
  <c r="H24" i="1"/>
  <c r="AA24" i="1"/>
  <c r="Q25" i="1"/>
  <c r="AK25" i="1"/>
  <c r="Y26" i="1"/>
  <c r="M27" i="1"/>
  <c r="AF27" i="1"/>
  <c r="T28" i="1"/>
  <c r="I29" i="1"/>
  <c r="AD29" i="1"/>
  <c r="R30" i="1"/>
  <c r="AK30" i="1"/>
  <c r="Y31" i="1"/>
  <c r="N32" i="1"/>
  <c r="AG32" i="1"/>
  <c r="U33" i="1"/>
  <c r="K34" i="1"/>
  <c r="AE34" i="1"/>
  <c r="S35" i="1"/>
  <c r="AL35" i="1"/>
  <c r="Z36" i="1"/>
  <c r="N37" i="1"/>
  <c r="AH37" i="1"/>
  <c r="X38" i="1"/>
  <c r="L39" i="1"/>
  <c r="AE39" i="1"/>
  <c r="T40" i="1"/>
  <c r="H41" i="1"/>
  <c r="AA41" i="1"/>
  <c r="O42" i="1"/>
  <c r="AJ42" i="1"/>
  <c r="Y43" i="1"/>
  <c r="M44" i="1"/>
  <c r="AF44" i="1"/>
  <c r="T45" i="1"/>
  <c r="H46" i="1"/>
  <c r="AB46" i="1"/>
  <c r="R47" i="1"/>
  <c r="AK47" i="1"/>
  <c r="Y48" i="1"/>
  <c r="N49" i="1"/>
  <c r="AG49" i="1"/>
  <c r="U50" i="1"/>
  <c r="I51" i="1"/>
  <c r="AE51" i="1"/>
  <c r="S52" i="1"/>
  <c r="AL52" i="1"/>
  <c r="Z53" i="1"/>
  <c r="N54" i="1"/>
  <c r="AH54" i="1"/>
  <c r="V55" i="1"/>
  <c r="K56" i="1"/>
  <c r="AC56" i="1"/>
  <c r="P57" i="1"/>
  <c r="AH57" i="1"/>
  <c r="U58" i="1"/>
  <c r="L12" i="1"/>
  <c r="AG12" i="1"/>
  <c r="W13" i="1"/>
  <c r="P14" i="1"/>
  <c r="AK14" i="1"/>
  <c r="AB15" i="1"/>
  <c r="R16" i="1"/>
  <c r="M17" i="1"/>
  <c r="AH17" i="1"/>
  <c r="X18" i="1"/>
  <c r="Q19" i="1"/>
  <c r="AL19" i="1"/>
  <c r="AB20" i="1"/>
  <c r="U21" i="1"/>
  <c r="M22" i="1"/>
  <c r="AI22" i="1"/>
  <c r="AA23" i="1"/>
  <c r="Q24" i="1"/>
  <c r="H25" i="1"/>
  <c r="AC25" i="1"/>
  <c r="V26" i="1"/>
  <c r="N27" i="1"/>
  <c r="AI27" i="1"/>
  <c r="AB28" i="1"/>
  <c r="R29" i="1"/>
  <c r="H30" i="1"/>
  <c r="AF30" i="1"/>
  <c r="V31" i="1"/>
  <c r="O32" i="1"/>
  <c r="AL32" i="1"/>
  <c r="AC33" i="1"/>
  <c r="S34" i="1"/>
  <c r="I35" i="1"/>
  <c r="AG35" i="1"/>
  <c r="W36" i="1"/>
  <c r="O37" i="1"/>
  <c r="H38" i="1"/>
  <c r="AC38" i="1"/>
  <c r="T39" i="1"/>
  <c r="L40" i="1"/>
  <c r="AG40" i="1"/>
  <c r="X41" i="1"/>
  <c r="R42" i="1"/>
  <c r="I43" i="1"/>
  <c r="AD43" i="1"/>
  <c r="T44" i="1"/>
  <c r="M45" i="1"/>
  <c r="AH45" i="1"/>
  <c r="X46" i="1"/>
  <c r="S47" i="1"/>
  <c r="I48" i="1"/>
  <c r="AE48" i="1"/>
  <c r="W49" i="1"/>
  <c r="N50" i="1"/>
  <c r="AI50" i="1"/>
  <c r="Y51" i="1"/>
  <c r="T52" i="1"/>
  <c r="J53" i="1"/>
  <c r="AE53" i="1"/>
  <c r="X54" i="1"/>
  <c r="N55" i="1"/>
  <c r="AI55" i="1"/>
  <c r="Z56" i="1"/>
  <c r="Q57" i="1"/>
  <c r="AK57" i="1"/>
  <c r="AA58" i="1"/>
  <c r="N59" i="1"/>
  <c r="AF59" i="1"/>
  <c r="S60" i="1"/>
  <c r="AK60" i="1"/>
  <c r="X61" i="1"/>
  <c r="K62" i="1"/>
  <c r="AC62" i="1"/>
  <c r="Q63" i="1"/>
  <c r="AI63" i="1"/>
  <c r="W64" i="1"/>
  <c r="J65" i="1"/>
  <c r="AB65" i="1"/>
  <c r="O66" i="1"/>
  <c r="AG66" i="1"/>
  <c r="U67" i="1"/>
  <c r="H68" i="1"/>
  <c r="Z68" i="1"/>
  <c r="M69" i="1"/>
  <c r="AE69" i="1"/>
  <c r="R70" i="1"/>
  <c r="AJ70" i="1"/>
  <c r="X71" i="1"/>
  <c r="K72" i="1"/>
  <c r="AC72" i="1"/>
  <c r="Q73" i="1"/>
  <c r="AI73" i="1"/>
  <c r="V74" i="1"/>
  <c r="I75" i="1"/>
  <c r="AB75" i="1"/>
  <c r="O76" i="1"/>
  <c r="AG76" i="1"/>
  <c r="T77" i="1"/>
  <c r="AL77" i="1"/>
  <c r="Y78" i="1"/>
  <c r="L79" i="1"/>
  <c r="AD79" i="1"/>
  <c r="R80" i="1"/>
  <c r="AJ80" i="1"/>
  <c r="W81" i="1"/>
  <c r="K82" i="1"/>
  <c r="AC82" i="1"/>
  <c r="P83" i="1"/>
  <c r="AH83" i="1"/>
  <c r="V84" i="1"/>
  <c r="I85" i="1"/>
  <c r="AA85" i="1"/>
  <c r="N86" i="1"/>
  <c r="AF86" i="1"/>
  <c r="S87" i="1"/>
  <c r="AK87" i="1"/>
  <c r="Y88" i="1"/>
  <c r="L89" i="1"/>
  <c r="AD89" i="1"/>
  <c r="Q90" i="1"/>
  <c r="AJ90" i="1"/>
  <c r="W91" i="1"/>
  <c r="J92" i="1"/>
  <c r="AC92" i="1"/>
  <c r="P93" i="1"/>
  <c r="AH93" i="1"/>
  <c r="U94" i="1"/>
  <c r="H95" i="1"/>
  <c r="Z95" i="1"/>
  <c r="M96" i="1"/>
  <c r="AE96" i="1"/>
  <c r="S97" i="1"/>
  <c r="AK97" i="1"/>
  <c r="X98" i="1"/>
  <c r="K99" i="1"/>
  <c r="AD99" i="1"/>
  <c r="Q100" i="1"/>
  <c r="AI100" i="1"/>
  <c r="V101" i="1"/>
  <c r="H102" i="1"/>
  <c r="Y102" i="1"/>
  <c r="K103" i="1"/>
  <c r="AB103" i="1"/>
  <c r="N104" i="1"/>
  <c r="AE104" i="1"/>
  <c r="Q105" i="1"/>
  <c r="AH105" i="1"/>
  <c r="T106" i="1"/>
  <c r="AK106" i="1"/>
  <c r="W107" i="1"/>
  <c r="J108" i="1"/>
  <c r="AA108" i="1"/>
  <c r="M109" i="1"/>
  <c r="AD109" i="1"/>
  <c r="P110" i="1"/>
  <c r="AF110" i="1"/>
  <c r="Q111" i="1"/>
  <c r="AG111" i="1"/>
  <c r="R112" i="1"/>
  <c r="AH112" i="1"/>
  <c r="S113" i="1"/>
  <c r="AI113" i="1"/>
  <c r="T114" i="1"/>
  <c r="AJ114" i="1"/>
  <c r="U115" i="1"/>
  <c r="AK115" i="1"/>
  <c r="V116" i="1"/>
  <c r="AL116" i="1"/>
  <c r="W117" i="1"/>
  <c r="H118" i="1"/>
  <c r="X118" i="1"/>
  <c r="I119" i="1"/>
  <c r="Y119" i="1"/>
  <c r="J120" i="1"/>
  <c r="Z120" i="1"/>
  <c r="K121" i="1"/>
  <c r="AA121" i="1"/>
  <c r="L122" i="1"/>
  <c r="AB122" i="1"/>
  <c r="M123" i="1"/>
  <c r="AC123" i="1"/>
  <c r="N124" i="1"/>
  <c r="AD124" i="1"/>
  <c r="O125" i="1"/>
  <c r="AE125" i="1"/>
  <c r="P126" i="1"/>
  <c r="AF126" i="1"/>
  <c r="Q127" i="1"/>
  <c r="AG127" i="1"/>
  <c r="R128" i="1"/>
  <c r="AH128" i="1"/>
  <c r="S129" i="1"/>
  <c r="AI129" i="1"/>
  <c r="T130" i="1"/>
  <c r="AJ130" i="1"/>
  <c r="U131" i="1"/>
  <c r="AK131" i="1"/>
  <c r="V132" i="1"/>
  <c r="AL132" i="1"/>
  <c r="W133" i="1"/>
  <c r="H134" i="1"/>
  <c r="X134" i="1"/>
  <c r="I135" i="1"/>
  <c r="Y135" i="1"/>
  <c r="J136" i="1"/>
  <c r="Z136" i="1"/>
  <c r="K137" i="1"/>
  <c r="AA137" i="1"/>
  <c r="L138" i="1"/>
  <c r="AB138" i="1"/>
  <c r="M139" i="1"/>
  <c r="AC139" i="1"/>
  <c r="N140" i="1"/>
  <c r="AD140" i="1"/>
  <c r="O141" i="1"/>
  <c r="AE141" i="1"/>
  <c r="P142" i="1"/>
  <c r="AF142" i="1"/>
  <c r="Q143" i="1"/>
  <c r="AG143" i="1"/>
  <c r="R144" i="1"/>
  <c r="AH144" i="1"/>
  <c r="S145" i="1"/>
  <c r="AI145" i="1"/>
  <c r="T146" i="1"/>
  <c r="AJ146" i="1"/>
  <c r="U147" i="1"/>
  <c r="AK147" i="1"/>
  <c r="V148" i="1"/>
  <c r="AL148" i="1"/>
  <c r="W149" i="1"/>
  <c r="H150" i="1"/>
  <c r="X150" i="1"/>
  <c r="I151" i="1"/>
  <c r="Y151" i="1"/>
  <c r="J152" i="1"/>
  <c r="Z152" i="1"/>
  <c r="K153" i="1"/>
  <c r="AA153" i="1"/>
  <c r="L154" i="1"/>
  <c r="M12" i="1"/>
  <c r="AH12" i="1"/>
  <c r="Y13" i="1"/>
  <c r="Q14" i="1"/>
  <c r="AL14" i="1"/>
  <c r="AC15" i="1"/>
  <c r="S16" i="1"/>
  <c r="N17" i="1"/>
  <c r="AI17" i="1"/>
  <c r="Y18" i="1"/>
  <c r="R19" i="1"/>
  <c r="H20" i="1"/>
  <c r="AC20" i="1"/>
  <c r="V21" i="1"/>
  <c r="N22" i="1"/>
  <c r="AJ22" i="1"/>
  <c r="AB23" i="1"/>
  <c r="R24" i="1"/>
  <c r="I25" i="1"/>
  <c r="AD25" i="1"/>
  <c r="W26" i="1"/>
  <c r="O27" i="1"/>
  <c r="AJ27" i="1"/>
  <c r="AC28" i="1"/>
  <c r="S29" i="1"/>
  <c r="J30" i="1"/>
  <c r="AG30" i="1"/>
  <c r="W31" i="1"/>
  <c r="P32" i="1"/>
  <c r="H33" i="1"/>
  <c r="AD33" i="1"/>
  <c r="T34" i="1"/>
  <c r="J35" i="1"/>
  <c r="AH35" i="1"/>
  <c r="X36" i="1"/>
  <c r="Q37" i="1"/>
  <c r="I38" i="1"/>
  <c r="AD38" i="1"/>
  <c r="U39" i="1"/>
  <c r="M40" i="1"/>
  <c r="AH40" i="1"/>
  <c r="Y41" i="1"/>
  <c r="S42" i="1"/>
  <c r="J43" i="1"/>
  <c r="AE43" i="1"/>
  <c r="U44" i="1"/>
  <c r="N45" i="1"/>
  <c r="AI45" i="1"/>
  <c r="Z46" i="1"/>
  <c r="T47" i="1"/>
  <c r="J48" i="1"/>
  <c r="AF48" i="1"/>
  <c r="X49" i="1"/>
  <c r="O50" i="1"/>
  <c r="AJ50" i="1"/>
  <c r="Z51" i="1"/>
  <c r="U52" i="1"/>
  <c r="K53" i="1"/>
  <c r="AG53" i="1"/>
  <c r="Y54" i="1"/>
  <c r="O55" i="1"/>
  <c r="AJ55" i="1"/>
  <c r="AA56" i="1"/>
  <c r="R57" i="1"/>
  <c r="AL57" i="1"/>
  <c r="AB58" i="1"/>
  <c r="O59" i="1"/>
  <c r="AG59" i="1"/>
  <c r="T60" i="1"/>
  <c r="AL60" i="1"/>
  <c r="Y61" i="1"/>
  <c r="L62" i="1"/>
  <c r="AE62" i="1"/>
  <c r="R63" i="1"/>
  <c r="AK63" i="1"/>
  <c r="X64" i="1"/>
  <c r="K65" i="1"/>
  <c r="AC65" i="1"/>
  <c r="P66" i="1"/>
  <c r="AI66" i="1"/>
  <c r="V67" i="1"/>
  <c r="I68" i="1"/>
  <c r="AA68" i="1"/>
  <c r="N69" i="1"/>
  <c r="AF69" i="1"/>
  <c r="S70" i="1"/>
  <c r="AK70" i="1"/>
  <c r="Y71" i="1"/>
  <c r="L72" i="1"/>
  <c r="AE72" i="1"/>
  <c r="R73" i="1"/>
  <c r="AJ73" i="1"/>
  <c r="W74" i="1"/>
  <c r="J75" i="1"/>
  <c r="AC75" i="1"/>
  <c r="P76" i="1"/>
  <c r="AH76" i="1"/>
  <c r="U77" i="1"/>
  <c r="H78" i="1"/>
  <c r="Z78" i="1"/>
  <c r="M79" i="1"/>
  <c r="AF79" i="1"/>
  <c r="S80" i="1"/>
  <c r="AK80" i="1"/>
  <c r="Y81" i="1"/>
  <c r="L82" i="1"/>
  <c r="AD82" i="1"/>
  <c r="Q83" i="1"/>
  <c r="AJ83" i="1"/>
  <c r="W84" i="1"/>
  <c r="J85" i="1"/>
  <c r="AB85" i="1"/>
  <c r="O86" i="1"/>
  <c r="AG86" i="1"/>
  <c r="T87" i="1"/>
  <c r="AL87" i="1"/>
  <c r="Z88" i="1"/>
  <c r="M89" i="1"/>
  <c r="AE89" i="1"/>
  <c r="S90" i="1"/>
  <c r="AK90" i="1"/>
  <c r="X91" i="1"/>
  <c r="K92" i="1"/>
  <c r="AD92" i="1"/>
  <c r="Q93" i="1"/>
  <c r="AI93" i="1"/>
  <c r="V94" i="1"/>
  <c r="I95" i="1"/>
  <c r="AA95" i="1"/>
  <c r="N96" i="1"/>
  <c r="AG96" i="1"/>
  <c r="T97" i="1"/>
  <c r="AL97" i="1"/>
  <c r="Y98" i="1"/>
  <c r="M99" i="1"/>
  <c r="AE99" i="1"/>
  <c r="R100" i="1"/>
  <c r="AK100" i="1"/>
  <c r="W101" i="1"/>
  <c r="I102" i="1"/>
  <c r="Z102" i="1"/>
  <c r="L103" i="1"/>
  <c r="AC103" i="1"/>
  <c r="O104" i="1"/>
  <c r="AF104" i="1"/>
  <c r="R105" i="1"/>
  <c r="AI105" i="1"/>
  <c r="U106" i="1"/>
  <c r="AL106" i="1"/>
  <c r="Y107" i="1"/>
  <c r="K108" i="1"/>
  <c r="AB108" i="1"/>
  <c r="N109" i="1"/>
  <c r="AE109" i="1"/>
  <c r="Q110" i="1"/>
  <c r="AG110" i="1"/>
  <c r="R111" i="1"/>
  <c r="AH111" i="1"/>
  <c r="S112" i="1"/>
  <c r="AI112" i="1"/>
  <c r="T113" i="1"/>
  <c r="AJ113" i="1"/>
  <c r="U114" i="1"/>
  <c r="AK114" i="1"/>
  <c r="V115" i="1"/>
  <c r="AL115" i="1"/>
  <c r="W116" i="1"/>
  <c r="H117" i="1"/>
  <c r="X117" i="1"/>
  <c r="I118" i="1"/>
  <c r="N12" i="1"/>
  <c r="AK12" i="1"/>
  <c r="AF13" i="1"/>
  <c r="AA14" i="1"/>
  <c r="U15" i="1"/>
  <c r="N16" i="1"/>
  <c r="H17" i="1"/>
  <c r="AJ17" i="1"/>
  <c r="AE18" i="1"/>
  <c r="W19" i="1"/>
  <c r="T20" i="1"/>
  <c r="L21" i="1"/>
  <c r="AL21" i="1"/>
  <c r="AF22" i="1"/>
  <c r="AC23" i="1"/>
  <c r="V24" i="1"/>
  <c r="R25" i="1"/>
  <c r="K26" i="1"/>
  <c r="AJ26" i="1"/>
  <c r="AC27" i="1"/>
  <c r="Z28" i="1"/>
  <c r="T29" i="1"/>
  <c r="O30" i="1"/>
  <c r="I31" i="1"/>
  <c r="AI31" i="1"/>
  <c r="AB32" i="1"/>
  <c r="X33" i="1"/>
  <c r="Q34" i="1"/>
  <c r="M35" i="1"/>
  <c r="H36" i="1"/>
  <c r="AH36" i="1"/>
  <c r="Z37" i="1"/>
  <c r="S38" i="1"/>
  <c r="O39" i="1"/>
  <c r="H40" i="1"/>
  <c r="AJ40" i="1"/>
  <c r="AF41" i="1"/>
  <c r="Y42" i="1"/>
  <c r="Q43" i="1"/>
  <c r="N44" i="1"/>
  <c r="AK44" i="1"/>
  <c r="AF45" i="1"/>
  <c r="AE46" i="1"/>
  <c r="W47" i="1"/>
  <c r="P48" i="1"/>
  <c r="J49" i="1"/>
  <c r="AJ49" i="1"/>
  <c r="AE50" i="1"/>
  <c r="W51" i="1"/>
  <c r="V52" i="1"/>
  <c r="N53" i="1"/>
  <c r="I54" i="1"/>
  <c r="AI54" i="1"/>
  <c r="AC55" i="1"/>
  <c r="T56" i="1"/>
  <c r="M57" i="1"/>
  <c r="H58" i="1"/>
  <c r="AE58" i="1"/>
  <c r="T59" i="1"/>
  <c r="J60" i="1"/>
  <c r="AE60" i="1"/>
  <c r="T61" i="1"/>
  <c r="I62" i="1"/>
  <c r="AF62" i="1"/>
  <c r="V63" i="1"/>
  <c r="K64" i="1"/>
  <c r="AE64" i="1"/>
  <c r="U65" i="1"/>
  <c r="J66" i="1"/>
  <c r="AE66" i="1"/>
  <c r="W67" i="1"/>
  <c r="L68" i="1"/>
  <c r="AF68" i="1"/>
  <c r="W69" i="1"/>
  <c r="L70" i="1"/>
  <c r="AF70" i="1"/>
  <c r="U71" i="1"/>
  <c r="N72" i="1"/>
  <c r="AH72" i="1"/>
  <c r="W73" i="1"/>
  <c r="M74" i="1"/>
  <c r="AG74" i="1"/>
  <c r="W75" i="1"/>
  <c r="M76" i="1"/>
  <c r="AI76" i="1"/>
  <c r="X77" i="1"/>
  <c r="M78" i="1"/>
  <c r="AI78" i="1"/>
  <c r="X79" i="1"/>
  <c r="M80" i="1"/>
  <c r="AH80" i="1"/>
  <c r="Z81" i="1"/>
  <c r="O82" i="1"/>
  <c r="AJ82" i="1"/>
  <c r="Y83" i="1"/>
  <c r="N84" i="1"/>
  <c r="AI84" i="1"/>
  <c r="Y85" i="1"/>
  <c r="P86" i="1"/>
  <c r="AJ86" i="1"/>
  <c r="AA87" i="1"/>
  <c r="P88" i="1"/>
  <c r="AJ88" i="1"/>
  <c r="Z89" i="1"/>
  <c r="O90" i="1"/>
  <c r="AL90" i="1"/>
  <c r="AB91" i="1"/>
  <c r="Q92" i="1"/>
  <c r="AK92" i="1"/>
  <c r="Z93" i="1"/>
  <c r="Q94" i="1"/>
  <c r="AK94" i="1"/>
  <c r="AB95" i="1"/>
  <c r="R96" i="1"/>
  <c r="H97" i="1"/>
  <c r="AB97" i="1"/>
  <c r="Q98" i="1"/>
  <c r="AL98" i="1"/>
  <c r="AA99" i="1"/>
  <c r="S100" i="1"/>
  <c r="I101" i="1"/>
  <c r="AB101" i="1"/>
  <c r="P102" i="1"/>
  <c r="AJ102" i="1"/>
  <c r="X103" i="1"/>
  <c r="L104" i="1"/>
  <c r="AG104" i="1"/>
  <c r="U105" i="1"/>
  <c r="J106" i="1"/>
  <c r="AC106" i="1"/>
  <c r="Q107" i="1"/>
  <c r="AJ107" i="1"/>
  <c r="X108" i="1"/>
  <c r="O109" i="1"/>
  <c r="AH109" i="1"/>
  <c r="V110" i="1"/>
  <c r="I111" i="1"/>
  <c r="AA111" i="1"/>
  <c r="N112" i="1"/>
  <c r="AF112" i="1"/>
  <c r="U113" i="1"/>
  <c r="H114" i="1"/>
  <c r="Z114" i="1"/>
  <c r="M115" i="1"/>
  <c r="AE115" i="1"/>
  <c r="R116" i="1"/>
  <c r="AJ116" i="1"/>
  <c r="Y117" i="1"/>
  <c r="L118" i="1"/>
  <c r="AC118" i="1"/>
  <c r="O119" i="1"/>
  <c r="AF119" i="1"/>
  <c r="R120" i="1"/>
  <c r="AI120" i="1"/>
  <c r="U121" i="1"/>
  <c r="AL121" i="1"/>
  <c r="X122" i="1"/>
  <c r="J123" i="1"/>
  <c r="AA123" i="1"/>
  <c r="M124" i="1"/>
  <c r="AE124" i="1"/>
  <c r="Q125" i="1"/>
  <c r="AH125" i="1"/>
  <c r="T126" i="1"/>
  <c r="AK126" i="1"/>
  <c r="W127" i="1"/>
  <c r="I128" i="1"/>
  <c r="Z128" i="1"/>
  <c r="L129" i="1"/>
  <c r="AC129" i="1"/>
  <c r="O130" i="1"/>
  <c r="AF130" i="1"/>
  <c r="R131" i="1"/>
  <c r="AI131" i="1"/>
  <c r="U132" i="1"/>
  <c r="H133" i="1"/>
  <c r="Y133" i="1"/>
  <c r="K134" i="1"/>
  <c r="AB134" i="1"/>
  <c r="N135" i="1"/>
  <c r="AE135" i="1"/>
  <c r="Q136" i="1"/>
  <c r="AH136" i="1"/>
  <c r="T137" i="1"/>
  <c r="AK137" i="1"/>
  <c r="W138" i="1"/>
  <c r="I139" i="1"/>
  <c r="Z139" i="1"/>
  <c r="L140" i="1"/>
  <c r="AC140" i="1"/>
  <c r="P141" i="1"/>
  <c r="AG141" i="1"/>
  <c r="S142" i="1"/>
  <c r="AJ142" i="1"/>
  <c r="V143" i="1"/>
  <c r="H144" i="1"/>
  <c r="Y144" i="1"/>
  <c r="K145" i="1"/>
  <c r="AB145" i="1"/>
  <c r="N146" i="1"/>
  <c r="AE146" i="1"/>
  <c r="Q147" i="1"/>
  <c r="AH147" i="1"/>
  <c r="T148" i="1"/>
  <c r="AK148" i="1"/>
  <c r="X149" i="1"/>
  <c r="J150" i="1"/>
  <c r="AA150" i="1"/>
  <c r="M151" i="1"/>
  <c r="AD151" i="1"/>
  <c r="P152" i="1"/>
  <c r="AG152" i="1"/>
  <c r="S153" i="1"/>
  <c r="AJ153" i="1"/>
  <c r="V154" i="1"/>
  <c r="AL154" i="1"/>
  <c r="W155" i="1"/>
  <c r="H156" i="1"/>
  <c r="X156" i="1"/>
  <c r="I157" i="1"/>
  <c r="Y157" i="1"/>
  <c r="J158" i="1"/>
  <c r="Z158" i="1"/>
  <c r="K159" i="1"/>
  <c r="AA159" i="1"/>
  <c r="L160" i="1"/>
  <c r="AB160" i="1"/>
  <c r="M161" i="1"/>
  <c r="AC161" i="1"/>
  <c r="N162" i="1"/>
  <c r="AD162" i="1"/>
  <c r="O163" i="1"/>
  <c r="AE163" i="1"/>
  <c r="P164" i="1"/>
  <c r="AF164" i="1"/>
  <c r="Q165" i="1"/>
  <c r="AG165" i="1"/>
  <c r="R166" i="1"/>
  <c r="AH166" i="1"/>
  <c r="S167" i="1"/>
  <c r="AI167" i="1"/>
  <c r="T168" i="1"/>
  <c r="AJ168" i="1"/>
  <c r="U169" i="1"/>
  <c r="AK169" i="1"/>
  <c r="V170" i="1"/>
  <c r="AL170" i="1"/>
  <c r="W171" i="1"/>
  <c r="H172" i="1"/>
  <c r="X172" i="1"/>
  <c r="I173" i="1"/>
  <c r="Y173" i="1"/>
  <c r="J174" i="1"/>
  <c r="Z174" i="1"/>
  <c r="K175" i="1"/>
  <c r="AA175" i="1"/>
  <c r="L176" i="1"/>
  <c r="AB176" i="1"/>
  <c r="M177" i="1"/>
  <c r="AC177" i="1"/>
  <c r="N178" i="1"/>
  <c r="AD178" i="1"/>
  <c r="O179" i="1"/>
  <c r="AE179" i="1"/>
  <c r="P180" i="1"/>
  <c r="AF180" i="1"/>
  <c r="Q181" i="1"/>
  <c r="AG181" i="1"/>
  <c r="R182" i="1"/>
  <c r="AH182" i="1"/>
  <c r="S183" i="1"/>
  <c r="AI183" i="1"/>
  <c r="T184" i="1"/>
  <c r="AJ184" i="1"/>
  <c r="U185" i="1"/>
  <c r="AK185" i="1"/>
  <c r="V186" i="1"/>
  <c r="AL186" i="1"/>
  <c r="W187" i="1"/>
  <c r="H188" i="1"/>
  <c r="X188" i="1"/>
  <c r="I189" i="1"/>
  <c r="Y189" i="1"/>
  <c r="J190" i="1"/>
  <c r="Z190" i="1"/>
  <c r="K191" i="1"/>
  <c r="AA191" i="1"/>
  <c r="L192" i="1"/>
  <c r="AB192" i="1"/>
  <c r="M193" i="1"/>
  <c r="AC193" i="1"/>
  <c r="N194" i="1"/>
  <c r="AD194" i="1"/>
  <c r="O195" i="1"/>
  <c r="AE195" i="1"/>
  <c r="P196" i="1"/>
  <c r="AF196" i="1"/>
  <c r="Q197" i="1"/>
  <c r="AG197" i="1"/>
  <c r="R198" i="1"/>
  <c r="AH198" i="1"/>
  <c r="S199" i="1"/>
  <c r="AI199" i="1"/>
  <c r="T200" i="1"/>
  <c r="AJ200" i="1"/>
  <c r="U201" i="1"/>
  <c r="AK201" i="1"/>
  <c r="V202" i="1"/>
  <c r="AL202" i="1"/>
  <c r="W203" i="1"/>
  <c r="H204" i="1"/>
  <c r="X204" i="1"/>
  <c r="I205" i="1"/>
  <c r="Y205" i="1"/>
  <c r="J206" i="1"/>
  <c r="Z206" i="1"/>
  <c r="K207" i="1"/>
  <c r="AA207" i="1"/>
  <c r="L208" i="1"/>
  <c r="AB208" i="1"/>
  <c r="M209" i="1"/>
  <c r="AC209" i="1"/>
  <c r="N210" i="1"/>
  <c r="AD210" i="1"/>
  <c r="O211" i="1"/>
  <c r="AE211" i="1"/>
  <c r="P212" i="1"/>
  <c r="AF212" i="1"/>
  <c r="Q213" i="1"/>
  <c r="AG213" i="1"/>
  <c r="R214" i="1"/>
  <c r="AH214" i="1"/>
  <c r="S215" i="1"/>
  <c r="AI215" i="1"/>
  <c r="T216" i="1"/>
  <c r="AJ216" i="1"/>
  <c r="U217" i="1"/>
  <c r="AK217" i="1"/>
  <c r="V218" i="1"/>
  <c r="AL218" i="1"/>
  <c r="W219" i="1"/>
  <c r="O12" i="1"/>
  <c r="AL12" i="1"/>
  <c r="AG13" i="1"/>
  <c r="AB14" i="1"/>
  <c r="V15" i="1"/>
  <c r="O16" i="1"/>
  <c r="I17" i="1"/>
  <c r="AK17" i="1"/>
  <c r="AF18" i="1"/>
  <c r="X19" i="1"/>
  <c r="U20" i="1"/>
  <c r="M21" i="1"/>
  <c r="H22" i="1"/>
  <c r="AH22" i="1"/>
  <c r="AD23" i="1"/>
  <c r="W24" i="1"/>
  <c r="S25" i="1"/>
  <c r="L26" i="1"/>
  <c r="AL26" i="1"/>
  <c r="AD27" i="1"/>
  <c r="AA28" i="1"/>
  <c r="U29" i="1"/>
  <c r="P30" i="1"/>
  <c r="K31" i="1"/>
  <c r="AJ31" i="1"/>
  <c r="AC32" i="1"/>
  <c r="Y33" i="1"/>
  <c r="R34" i="1"/>
  <c r="O35" i="1"/>
  <c r="I36" i="1"/>
  <c r="AI36" i="1"/>
  <c r="AA37" i="1"/>
  <c r="T38" i="1"/>
  <c r="P39" i="1"/>
  <c r="I40" i="1"/>
  <c r="AK40" i="1"/>
  <c r="AG41" i="1"/>
  <c r="Z42" i="1"/>
  <c r="R43" i="1"/>
  <c r="O44" i="1"/>
  <c r="AL44" i="1"/>
  <c r="AG45" i="1"/>
  <c r="AF46" i="1"/>
  <c r="X47" i="1"/>
  <c r="Q48" i="1"/>
  <c r="K49" i="1"/>
  <c r="AK49" i="1"/>
  <c r="AF50" i="1"/>
  <c r="X51" i="1"/>
  <c r="W52" i="1"/>
  <c r="O53" i="1"/>
  <c r="J54" i="1"/>
  <c r="AJ54" i="1"/>
  <c r="AD55" i="1"/>
  <c r="U56" i="1"/>
  <c r="N57" i="1"/>
  <c r="I58" i="1"/>
  <c r="AF58" i="1"/>
  <c r="U59" i="1"/>
  <c r="K60" i="1"/>
  <c r="AF60" i="1"/>
  <c r="U61" i="1"/>
  <c r="J62" i="1"/>
  <c r="AH62" i="1"/>
  <c r="W63" i="1"/>
  <c r="L64" i="1"/>
  <c r="AG64" i="1"/>
  <c r="V65" i="1"/>
  <c r="L66" i="1"/>
  <c r="AF66" i="1"/>
  <c r="X67" i="1"/>
  <c r="M68" i="1"/>
  <c r="AG68" i="1"/>
  <c r="X69" i="1"/>
  <c r="M70" i="1"/>
  <c r="AG70" i="1"/>
  <c r="V71" i="1"/>
  <c r="O72" i="1"/>
  <c r="AI72" i="1"/>
  <c r="X73" i="1"/>
  <c r="N74" i="1"/>
  <c r="AH74" i="1"/>
  <c r="X75" i="1"/>
  <c r="N76" i="1"/>
  <c r="AJ76" i="1"/>
  <c r="Y77" i="1"/>
  <c r="P78" i="1"/>
  <c r="AJ78" i="1"/>
  <c r="Y79" i="1"/>
  <c r="N80" i="1"/>
  <c r="AI80" i="1"/>
  <c r="AA81" i="1"/>
  <c r="P82" i="1"/>
  <c r="AK82" i="1"/>
  <c r="Z83" i="1"/>
  <c r="O84" i="1"/>
  <c r="AK84" i="1"/>
  <c r="Z85" i="1"/>
  <c r="Q86" i="1"/>
  <c r="AK86" i="1"/>
  <c r="AB87" i="1"/>
  <c r="Q88" i="1"/>
  <c r="AK88" i="1"/>
  <c r="AA89" i="1"/>
  <c r="P90" i="1"/>
  <c r="H91" i="1"/>
  <c r="AC91" i="1"/>
  <c r="R92" i="1"/>
  <c r="AL92" i="1"/>
  <c r="AB93" i="1"/>
  <c r="R94" i="1"/>
  <c r="AL94" i="1"/>
  <c r="AC95" i="1"/>
  <c r="S96" i="1"/>
  <c r="I97" i="1"/>
  <c r="AC97" i="1"/>
  <c r="S98" i="1"/>
  <c r="H99" i="1"/>
  <c r="AB99" i="1"/>
  <c r="U100" i="1"/>
  <c r="J101" i="1"/>
  <c r="AC101" i="1"/>
  <c r="Q102" i="1"/>
  <c r="AK102" i="1"/>
  <c r="Y103" i="1"/>
  <c r="M104" i="1"/>
  <c r="AH104" i="1"/>
  <c r="W105" i="1"/>
  <c r="K106" i="1"/>
  <c r="AD106" i="1"/>
  <c r="R107" i="1"/>
  <c r="AK107" i="1"/>
  <c r="Z108" i="1"/>
  <c r="P109" i="1"/>
  <c r="AI109" i="1"/>
  <c r="W110" i="1"/>
  <c r="J111" i="1"/>
  <c r="AB111" i="1"/>
  <c r="O112" i="1"/>
  <c r="AG112" i="1"/>
  <c r="V113" i="1"/>
  <c r="I114" i="1"/>
  <c r="AA114" i="1"/>
  <c r="N115" i="1"/>
  <c r="AF115" i="1"/>
  <c r="S116" i="1"/>
  <c r="AK116" i="1"/>
  <c r="Z117" i="1"/>
  <c r="M118" i="1"/>
  <c r="AD118" i="1"/>
  <c r="P119" i="1"/>
  <c r="AG119" i="1"/>
  <c r="S120" i="1"/>
  <c r="AJ120" i="1"/>
  <c r="V121" i="1"/>
  <c r="H122" i="1"/>
  <c r="Y122" i="1"/>
  <c r="K123" i="1"/>
  <c r="AB123" i="1"/>
  <c r="O124" i="1"/>
  <c r="AF124" i="1"/>
  <c r="R125" i="1"/>
  <c r="AI125" i="1"/>
  <c r="U126" i="1"/>
  <c r="AL126" i="1"/>
  <c r="X127" i="1"/>
  <c r="J128" i="1"/>
  <c r="AA128" i="1"/>
  <c r="M129" i="1"/>
  <c r="AD129" i="1"/>
  <c r="P130" i="1"/>
  <c r="AG130" i="1"/>
  <c r="S131" i="1"/>
  <c r="AJ131" i="1"/>
  <c r="W132" i="1"/>
  <c r="I133" i="1"/>
  <c r="Z133" i="1"/>
  <c r="L134" i="1"/>
  <c r="AC134" i="1"/>
  <c r="O135" i="1"/>
  <c r="AF135" i="1"/>
  <c r="R136" i="1"/>
  <c r="AI136" i="1"/>
  <c r="U137" i="1"/>
  <c r="AL137" i="1"/>
  <c r="X138" i="1"/>
  <c r="J139" i="1"/>
  <c r="AA139" i="1"/>
  <c r="M140" i="1"/>
  <c r="AE140" i="1"/>
  <c r="Q141" i="1"/>
  <c r="AH141" i="1"/>
  <c r="T142" i="1"/>
  <c r="AK142" i="1"/>
  <c r="W143" i="1"/>
  <c r="I144" i="1"/>
  <c r="Z144" i="1"/>
  <c r="L145" i="1"/>
  <c r="AC145" i="1"/>
  <c r="O146" i="1"/>
  <c r="AF146" i="1"/>
  <c r="R147" i="1"/>
  <c r="AI147" i="1"/>
  <c r="U148" i="1"/>
  <c r="H149" i="1"/>
  <c r="Y149" i="1"/>
  <c r="K150" i="1"/>
  <c r="AB150" i="1"/>
  <c r="N151" i="1"/>
  <c r="AE151" i="1"/>
  <c r="Q152" i="1"/>
  <c r="AH152" i="1"/>
  <c r="T153" i="1"/>
  <c r="AK153" i="1"/>
  <c r="W154" i="1"/>
  <c r="H155" i="1"/>
  <c r="X155" i="1"/>
  <c r="I156" i="1"/>
  <c r="Y156" i="1"/>
  <c r="J157" i="1"/>
  <c r="Z157" i="1"/>
  <c r="K158" i="1"/>
  <c r="AA158" i="1"/>
  <c r="L159" i="1"/>
  <c r="AB159" i="1"/>
  <c r="M160" i="1"/>
  <c r="AC160" i="1"/>
  <c r="N161" i="1"/>
  <c r="AD161" i="1"/>
  <c r="O162" i="1"/>
  <c r="AE162" i="1"/>
  <c r="P163" i="1"/>
  <c r="AF163" i="1"/>
  <c r="Q164" i="1"/>
  <c r="AG164" i="1"/>
  <c r="R165" i="1"/>
  <c r="AH165" i="1"/>
  <c r="S166" i="1"/>
  <c r="AI166" i="1"/>
  <c r="T167" i="1"/>
  <c r="AJ167" i="1"/>
  <c r="U168" i="1"/>
  <c r="AK168" i="1"/>
  <c r="V169" i="1"/>
  <c r="AL169" i="1"/>
  <c r="W170" i="1"/>
  <c r="H171" i="1"/>
  <c r="X171" i="1"/>
  <c r="I172" i="1"/>
  <c r="Y172" i="1"/>
  <c r="J173" i="1"/>
  <c r="Z173" i="1"/>
  <c r="K174" i="1"/>
  <c r="AA174" i="1"/>
  <c r="L175" i="1"/>
  <c r="AB175" i="1"/>
  <c r="M176" i="1"/>
  <c r="AC176" i="1"/>
  <c r="N177" i="1"/>
  <c r="AD177" i="1"/>
  <c r="O178" i="1"/>
  <c r="AE178" i="1"/>
  <c r="P179" i="1"/>
  <c r="AF179" i="1"/>
  <c r="Q180" i="1"/>
  <c r="AG180" i="1"/>
  <c r="R181" i="1"/>
  <c r="AH181" i="1"/>
  <c r="S182" i="1"/>
  <c r="AI182" i="1"/>
  <c r="T183" i="1"/>
  <c r="AJ183" i="1"/>
  <c r="U184" i="1"/>
  <c r="AK184" i="1"/>
  <c r="V185" i="1"/>
  <c r="AL185" i="1"/>
  <c r="W186" i="1"/>
  <c r="H187" i="1"/>
  <c r="X187" i="1"/>
  <c r="I188" i="1"/>
  <c r="Y188" i="1"/>
  <c r="J189" i="1"/>
  <c r="Z189" i="1"/>
  <c r="K190" i="1"/>
  <c r="AA190" i="1"/>
  <c r="L191" i="1"/>
  <c r="AB191" i="1"/>
  <c r="M192" i="1"/>
  <c r="AC192" i="1"/>
  <c r="N193" i="1"/>
  <c r="AD193" i="1"/>
  <c r="O194" i="1"/>
  <c r="AE194" i="1"/>
  <c r="P195" i="1"/>
  <c r="P12" i="1"/>
  <c r="M13" i="1"/>
  <c r="J14" i="1"/>
  <c r="H15" i="1"/>
  <c r="AL15" i="1"/>
  <c r="AG16" i="1"/>
  <c r="AF17" i="1"/>
  <c r="AG18" i="1"/>
  <c r="AF19" i="1"/>
  <c r="Z20" i="1"/>
  <c r="AA21" i="1"/>
  <c r="X22" i="1"/>
  <c r="U23" i="1"/>
  <c r="T24" i="1"/>
  <c r="U25" i="1"/>
  <c r="O26" i="1"/>
  <c r="P27" i="1"/>
  <c r="M28" i="1"/>
  <c r="L29" i="1"/>
  <c r="AK29" i="1"/>
  <c r="AL30" i="1"/>
  <c r="AK31" i="1"/>
  <c r="AH32" i="1"/>
  <c r="AG33" i="1"/>
  <c r="AF34" i="1"/>
  <c r="Z35" i="1"/>
  <c r="AA36" i="1"/>
  <c r="X37" i="1"/>
  <c r="Y38" i="1"/>
  <c r="V39" i="1"/>
  <c r="U40" i="1"/>
  <c r="Q41" i="1"/>
  <c r="L42" i="1"/>
  <c r="M43" i="1"/>
  <c r="J44" i="1"/>
  <c r="K45" i="1"/>
  <c r="J46" i="1"/>
  <c r="AK46" i="1"/>
  <c r="AH47" i="1"/>
  <c r="AG48" i="1"/>
  <c r="AD49" i="1"/>
  <c r="AB50" i="1"/>
  <c r="AF51" i="1"/>
  <c r="Z52" i="1"/>
  <c r="W53" i="1"/>
  <c r="V54" i="1"/>
  <c r="S55" i="1"/>
  <c r="P56" i="1"/>
  <c r="K57" i="1"/>
  <c r="L58" i="1"/>
  <c r="AI58" i="1"/>
  <c r="AB59" i="1"/>
  <c r="U60" i="1"/>
  <c r="N61" i="1"/>
  <c r="AJ61" i="1"/>
  <c r="AA62" i="1"/>
  <c r="X63" i="1"/>
  <c r="O64" i="1"/>
  <c r="AL64" i="1"/>
  <c r="AF65" i="1"/>
  <c r="X66" i="1"/>
  <c r="P67" i="1"/>
  <c r="J68" i="1"/>
  <c r="AI68" i="1"/>
  <c r="AA69" i="1"/>
  <c r="T70" i="1"/>
  <c r="M71" i="1"/>
  <c r="AI71" i="1"/>
  <c r="AA72" i="1"/>
  <c r="U73" i="1"/>
  <c r="O74" i="1"/>
  <c r="AL74" i="1"/>
  <c r="AF75" i="1"/>
  <c r="W76" i="1"/>
  <c r="P77" i="1"/>
  <c r="I78" i="1"/>
  <c r="AG78" i="1"/>
  <c r="Z79" i="1"/>
  <c r="T80" i="1"/>
  <c r="L81" i="1"/>
  <c r="AI81" i="1"/>
  <c r="Z82" i="1"/>
  <c r="U83" i="1"/>
  <c r="L84" i="1"/>
  <c r="AL84" i="1"/>
  <c r="AE85" i="1"/>
  <c r="X86" i="1"/>
  <c r="O87" i="1"/>
  <c r="I88" i="1"/>
  <c r="AF88" i="1"/>
  <c r="W89" i="1"/>
  <c r="T90" i="1"/>
  <c r="L91" i="1"/>
  <c r="AH91" i="1"/>
  <c r="Z92" i="1"/>
  <c r="T93" i="1"/>
  <c r="K94" i="1"/>
  <c r="AI94" i="1"/>
  <c r="AD95" i="1"/>
  <c r="W96" i="1"/>
  <c r="N97" i="1"/>
  <c r="H98" i="1"/>
  <c r="AE98" i="1"/>
  <c r="W99" i="1"/>
  <c r="N100" i="1"/>
  <c r="K101" i="1"/>
  <c r="AF101" i="1"/>
  <c r="W102" i="1"/>
  <c r="O103" i="1"/>
  <c r="AK103" i="1"/>
  <c r="AA104" i="1"/>
  <c r="S105" i="1"/>
  <c r="L106" i="1"/>
  <c r="AG106" i="1"/>
  <c r="Z107" i="1"/>
  <c r="P108" i="1"/>
  <c r="AK108" i="1"/>
  <c r="AB109" i="1"/>
  <c r="T110" i="1"/>
  <c r="K111" i="1"/>
  <c r="AE111" i="1"/>
  <c r="V112" i="1"/>
  <c r="K113" i="1"/>
  <c r="AE113" i="1"/>
  <c r="V114" i="1"/>
  <c r="K115" i="1"/>
  <c r="AG115" i="1"/>
  <c r="X116" i="1"/>
  <c r="M117" i="1"/>
  <c r="AG117" i="1"/>
  <c r="V118" i="1"/>
  <c r="K119" i="1"/>
  <c r="AD119" i="1"/>
  <c r="T120" i="1"/>
  <c r="H121" i="1"/>
  <c r="AB121" i="1"/>
  <c r="P122" i="1"/>
  <c r="AI122" i="1"/>
  <c r="W123" i="1"/>
  <c r="K124" i="1"/>
  <c r="AG124" i="1"/>
  <c r="U125" i="1"/>
  <c r="I126" i="1"/>
  <c r="AB126" i="1"/>
  <c r="P127" i="1"/>
  <c r="AJ127" i="1"/>
  <c r="X128" i="1"/>
  <c r="N129" i="1"/>
  <c r="AG129" i="1"/>
  <c r="V130" i="1"/>
  <c r="J131" i="1"/>
  <c r="AC131" i="1"/>
  <c r="Q132" i="1"/>
  <c r="AJ132" i="1"/>
  <c r="AA133" i="1"/>
  <c r="O134" i="1"/>
  <c r="AH134" i="1"/>
  <c r="V135" i="1"/>
  <c r="K136" i="1"/>
  <c r="AD136" i="1"/>
  <c r="R137" i="1"/>
  <c r="H138" i="1"/>
  <c r="AA138" i="1"/>
  <c r="P139" i="1"/>
  <c r="AI139" i="1"/>
  <c r="W140" i="1"/>
  <c r="K141" i="1"/>
  <c r="AD141" i="1"/>
  <c r="U142" i="1"/>
  <c r="I143" i="1"/>
  <c r="AB143" i="1"/>
  <c r="P144" i="1"/>
  <c r="AJ144" i="1"/>
  <c r="X145" i="1"/>
  <c r="L146" i="1"/>
  <c r="AG146" i="1"/>
  <c r="V147" i="1"/>
  <c r="J148" i="1"/>
  <c r="AC148" i="1"/>
  <c r="Q149" i="1"/>
  <c r="AJ149" i="1"/>
  <c r="Y150" i="1"/>
  <c r="O151" i="1"/>
  <c r="AH151" i="1"/>
  <c r="V152" i="1"/>
  <c r="J153" i="1"/>
  <c r="AD153" i="1"/>
  <c r="R154" i="1"/>
  <c r="AJ154" i="1"/>
  <c r="Y155" i="1"/>
  <c r="L156" i="1"/>
  <c r="AD156" i="1"/>
  <c r="S12" i="1"/>
  <c r="P13" i="1"/>
  <c r="M14" i="1"/>
  <c r="L15" i="1"/>
  <c r="J16" i="1"/>
  <c r="AJ16" i="1"/>
  <c r="H18" i="1"/>
  <c r="AJ18" i="1"/>
  <c r="AI19" i="1"/>
  <c r="AF20" i="1"/>
  <c r="AD21" i="1"/>
  <c r="AA22" i="1"/>
  <c r="X23" i="1"/>
  <c r="Y24" i="1"/>
  <c r="X25" i="1"/>
  <c r="T26" i="1"/>
  <c r="S27" i="1"/>
  <c r="P28" i="1"/>
  <c r="O29" i="1"/>
  <c r="L30" i="1"/>
  <c r="M31" i="1"/>
  <c r="I32" i="1"/>
  <c r="J33" i="1"/>
  <c r="AJ33" i="1"/>
  <c r="AI34" i="1"/>
  <c r="AF35" i="1"/>
  <c r="AD36" i="1"/>
  <c r="AC37" i="1"/>
  <c r="AB38" i="1"/>
  <c r="AA39" i="1"/>
  <c r="X40" i="1"/>
  <c r="U41" i="1"/>
  <c r="V42" i="1"/>
  <c r="P43" i="1"/>
  <c r="Q44" i="1"/>
  <c r="P45" i="1"/>
  <c r="O46" i="1"/>
  <c r="I47" i="1"/>
  <c r="H48" i="1"/>
  <c r="AL48" i="1"/>
  <c r="AI49" i="1"/>
  <c r="AH50" i="1"/>
  <c r="AI51" i="1"/>
  <c r="AC52" i="1"/>
  <c r="AB53" i="1"/>
  <c r="AA54" i="1"/>
  <c r="Z55" i="1"/>
  <c r="S56" i="1"/>
  <c r="T57" i="1"/>
  <c r="O58" i="1"/>
  <c r="H59" i="1"/>
  <c r="AE59" i="1"/>
  <c r="X60" i="1"/>
  <c r="Q61" i="1"/>
  <c r="H62" i="1"/>
  <c r="AJ62" i="1"/>
  <c r="AA63" i="1"/>
  <c r="S64" i="1"/>
  <c r="M65" i="1"/>
  <c r="AJ65" i="1"/>
  <c r="AA66" i="1"/>
  <c r="T67" i="1"/>
  <c r="O68" i="1"/>
  <c r="H69" i="1"/>
  <c r="AD69" i="1"/>
  <c r="Y70" i="1"/>
  <c r="P71" i="1"/>
  <c r="AL71" i="1"/>
  <c r="AG72" i="1"/>
  <c r="AA73" i="1"/>
  <c r="R74" i="1"/>
  <c r="M75" i="1"/>
  <c r="AI75" i="1"/>
  <c r="AA76" i="1"/>
  <c r="S77" i="1"/>
  <c r="L78" i="1"/>
  <c r="AL78" i="1"/>
  <c r="AC79" i="1"/>
  <c r="X80" i="1"/>
  <c r="O81" i="1"/>
  <c r="AL81" i="1"/>
  <c r="AF82" i="1"/>
  <c r="X83" i="1"/>
  <c r="R84" i="1"/>
  <c r="L85" i="1"/>
  <c r="Q12" i="1"/>
  <c r="S13" i="1"/>
  <c r="T14" i="1"/>
  <c r="W15" i="1"/>
  <c r="Z16" i="1"/>
  <c r="Y17" i="1"/>
  <c r="AB18" i="1"/>
  <c r="AG19" i="1"/>
  <c r="AK20" i="1"/>
  <c r="AH21" i="1"/>
  <c r="J23" i="1"/>
  <c r="I24" i="1"/>
  <c r="J25" i="1"/>
  <c r="M26" i="1"/>
  <c r="Q27" i="1"/>
  <c r="Q28" i="1"/>
  <c r="V29" i="1"/>
  <c r="W30" i="1"/>
  <c r="AA31" i="1"/>
  <c r="Y32" i="1"/>
  <c r="AE33" i="1"/>
  <c r="AG34" i="1"/>
  <c r="AI35" i="1"/>
  <c r="AL36" i="1"/>
  <c r="J38" i="1"/>
  <c r="I39" i="1"/>
  <c r="N40" i="1"/>
  <c r="O41" i="1"/>
  <c r="M42" i="1"/>
  <c r="U43" i="1"/>
  <c r="Y44" i="1"/>
  <c r="W45" i="1"/>
  <c r="V46" i="1"/>
  <c r="AB47" i="1"/>
  <c r="AC48" i="1"/>
  <c r="AE49" i="1"/>
  <c r="AK50" i="1"/>
  <c r="AL51" i="1"/>
  <c r="H53" i="1"/>
  <c r="K54" i="1"/>
  <c r="L55" i="1"/>
  <c r="N56" i="1"/>
  <c r="L57" i="1"/>
  <c r="P58" i="1"/>
  <c r="L59" i="1"/>
  <c r="AL59" i="1"/>
  <c r="AI60" i="1"/>
  <c r="AF61" i="1"/>
  <c r="Y62" i="1"/>
  <c r="Y63" i="1"/>
  <c r="T64" i="1"/>
  <c r="P65" i="1"/>
  <c r="M66" i="1"/>
  <c r="I67" i="1"/>
  <c r="AH67" i="1"/>
  <c r="AD68" i="1"/>
  <c r="AB69" i="1"/>
  <c r="Z70" i="1"/>
  <c r="S71" i="1"/>
  <c r="R72" i="1"/>
  <c r="L73" i="1"/>
  <c r="H74" i="1"/>
  <c r="AI74" i="1"/>
  <c r="AG75" i="1"/>
  <c r="AC76" i="1"/>
  <c r="Z77" i="1"/>
  <c r="U78" i="1"/>
  <c r="Q79" i="1"/>
  <c r="K80" i="1"/>
  <c r="J81" i="1"/>
  <c r="AJ81" i="1"/>
  <c r="AG82" i="1"/>
  <c r="AC83" i="1"/>
  <c r="Z84" i="1"/>
  <c r="T85" i="1"/>
  <c r="M86" i="1"/>
  <c r="K87" i="1"/>
  <c r="AH87" i="1"/>
  <c r="AD88" i="1"/>
  <c r="V89" i="1"/>
  <c r="U90" i="1"/>
  <c r="N91" i="1"/>
  <c r="AK91" i="1"/>
  <c r="AG92" i="1"/>
  <c r="Y93" i="1"/>
  <c r="W94" i="1"/>
  <c r="P95" i="1"/>
  <c r="I96" i="1"/>
  <c r="AI96" i="1"/>
  <c r="AD97" i="1"/>
  <c r="W98" i="1"/>
  <c r="R99" i="1"/>
  <c r="K100" i="1"/>
  <c r="AL100" i="1"/>
  <c r="AE101" i="1"/>
  <c r="X102" i="1"/>
  <c r="Q103" i="1"/>
  <c r="I104" i="1"/>
  <c r="AI104" i="1"/>
  <c r="AA105" i="1"/>
  <c r="R106" i="1"/>
  <c r="L107" i="1"/>
  <c r="AH107" i="1"/>
  <c r="AD108" i="1"/>
  <c r="U109" i="1"/>
  <c r="M110" i="1"/>
  <c r="AJ110" i="1"/>
  <c r="Z111" i="1"/>
  <c r="T112" i="1"/>
  <c r="J113" i="1"/>
  <c r="AF113" i="1"/>
  <c r="X114" i="1"/>
  <c r="P115" i="1"/>
  <c r="H116" i="1"/>
  <c r="AC116" i="1"/>
  <c r="S117" i="1"/>
  <c r="K118" i="1"/>
  <c r="AG118" i="1"/>
  <c r="V119" i="1"/>
  <c r="L120" i="1"/>
  <c r="AF120" i="1"/>
  <c r="W121" i="1"/>
  <c r="M122" i="1"/>
  <c r="AG122" i="1"/>
  <c r="V123" i="1"/>
  <c r="L124" i="1"/>
  <c r="AI124" i="1"/>
  <c r="X125" i="1"/>
  <c r="M126" i="1"/>
  <c r="AH126" i="1"/>
  <c r="Y127" i="1"/>
  <c r="N128" i="1"/>
  <c r="AI128" i="1"/>
  <c r="X129" i="1"/>
  <c r="M130" i="1"/>
  <c r="AI130" i="1"/>
  <c r="Y131" i="1"/>
  <c r="N132" i="1"/>
  <c r="AH132" i="1"/>
  <c r="X133" i="1"/>
  <c r="P134" i="1"/>
  <c r="AJ134" i="1"/>
  <c r="Z135" i="1"/>
  <c r="O136" i="1"/>
  <c r="AK136" i="1"/>
  <c r="Z137" i="1"/>
  <c r="P138" i="1"/>
  <c r="AJ138" i="1"/>
  <c r="Y139" i="1"/>
  <c r="Q140" i="1"/>
  <c r="AK140" i="1"/>
  <c r="Z141" i="1"/>
  <c r="O142" i="1"/>
  <c r="AL142" i="1"/>
  <c r="AA143" i="1"/>
  <c r="Q144" i="1"/>
  <c r="AL144" i="1"/>
  <c r="AA145" i="1"/>
  <c r="R146" i="1"/>
  <c r="H147" i="1"/>
  <c r="AB147" i="1"/>
  <c r="Q148" i="1"/>
  <c r="I149" i="1"/>
  <c r="AC149" i="1"/>
  <c r="R150" i="1"/>
  <c r="AL150" i="1"/>
  <c r="AB151" i="1"/>
  <c r="S152" i="1"/>
  <c r="H153" i="1"/>
  <c r="AC153" i="1"/>
  <c r="S154" i="1"/>
  <c r="I155" i="1"/>
  <c r="AB155" i="1"/>
  <c r="P156" i="1"/>
  <c r="AI156" i="1"/>
  <c r="V157" i="1"/>
  <c r="I158" i="1"/>
  <c r="AC158" i="1"/>
  <c r="P159" i="1"/>
  <c r="AH159" i="1"/>
  <c r="U160" i="1"/>
  <c r="H161" i="1"/>
  <c r="Z161" i="1"/>
  <c r="M162" i="1"/>
  <c r="AG162" i="1"/>
  <c r="T163" i="1"/>
  <c r="AL163" i="1"/>
  <c r="Y164" i="1"/>
  <c r="L165" i="1"/>
  <c r="AD165" i="1"/>
  <c r="Q166" i="1"/>
  <c r="AK166" i="1"/>
  <c r="X167" i="1"/>
  <c r="K168" i="1"/>
  <c r="AC168" i="1"/>
  <c r="P169" i="1"/>
  <c r="AH169" i="1"/>
  <c r="U170" i="1"/>
  <c r="J171" i="1"/>
  <c r="AB171" i="1"/>
  <c r="O172" i="1"/>
  <c r="AG172" i="1"/>
  <c r="T173" i="1"/>
  <c r="AL173" i="1"/>
  <c r="Y174" i="1"/>
  <c r="N175" i="1"/>
  <c r="AF175" i="1"/>
  <c r="S176" i="1"/>
  <c r="AK176" i="1"/>
  <c r="X177" i="1"/>
  <c r="K178" i="1"/>
  <c r="AC178" i="1"/>
  <c r="R179" i="1"/>
  <c r="AJ179" i="1"/>
  <c r="W180" i="1"/>
  <c r="J181" i="1"/>
  <c r="AB181" i="1"/>
  <c r="O182" i="1"/>
  <c r="AG182" i="1"/>
  <c r="V183" i="1"/>
  <c r="I184" i="1"/>
  <c r="AA184" i="1"/>
  <c r="N185" i="1"/>
  <c r="AF185" i="1"/>
  <c r="S186" i="1"/>
  <c r="AK186" i="1"/>
  <c r="Z187" i="1"/>
  <c r="M188" i="1"/>
  <c r="AE188" i="1"/>
  <c r="R189" i="1"/>
  <c r="AJ189" i="1"/>
  <c r="W190" i="1"/>
  <c r="J191" i="1"/>
  <c r="AD191" i="1"/>
  <c r="Q192" i="1"/>
  <c r="AI192" i="1"/>
  <c r="V193" i="1"/>
  <c r="I194" i="1"/>
  <c r="AA194" i="1"/>
  <c r="N195" i="1"/>
  <c r="AG195" i="1"/>
  <c r="S196" i="1"/>
  <c r="AJ196" i="1"/>
  <c r="V197" i="1"/>
  <c r="H198" i="1"/>
  <c r="Y198" i="1"/>
  <c r="U12" i="1"/>
  <c r="V13" i="1"/>
  <c r="W14" i="1"/>
  <c r="AA15" i="1"/>
  <c r="AD16" i="1"/>
  <c r="AC17" i="1"/>
  <c r="AI18" i="1"/>
  <c r="AK19" i="1"/>
  <c r="I21" i="1"/>
  <c r="J22" i="1"/>
  <c r="M23" i="1"/>
  <c r="N24" i="1"/>
  <c r="M25" i="1"/>
  <c r="S26" i="1"/>
  <c r="X27" i="1"/>
  <c r="V28" i="1"/>
  <c r="Z29" i="1"/>
  <c r="AA30" i="1"/>
  <c r="AD31" i="1"/>
  <c r="AE32" i="1"/>
  <c r="AI33" i="1"/>
  <c r="AK34" i="1"/>
  <c r="K36" i="1"/>
  <c r="J37" i="1"/>
  <c r="M38" i="1"/>
  <c r="N39" i="1"/>
  <c r="Q40" i="1"/>
  <c r="S41" i="1"/>
  <c r="X42" i="1"/>
  <c r="AA43" i="1"/>
  <c r="AB44" i="1"/>
  <c r="AC45" i="1"/>
  <c r="AH46" i="1"/>
  <c r="AE47" i="1"/>
  <c r="AK48" i="1"/>
  <c r="J50" i="1"/>
  <c r="M51" i="1"/>
  <c r="J52" i="1"/>
  <c r="M53" i="1"/>
  <c r="P54" i="1"/>
  <c r="Q55" i="1"/>
  <c r="R56" i="1"/>
  <c r="V57" i="1"/>
  <c r="S58" i="1"/>
  <c r="Q59" i="1"/>
  <c r="N60" i="1"/>
  <c r="I61" i="1"/>
  <c r="AI61" i="1"/>
  <c r="AI62" i="1"/>
  <c r="AC63" i="1"/>
  <c r="Z64" i="1"/>
  <c r="T65" i="1"/>
  <c r="S66" i="1"/>
  <c r="L67" i="1"/>
  <c r="AL67" i="1"/>
  <c r="AL68" i="1"/>
  <c r="AH69" i="1"/>
  <c r="AC70" i="1"/>
  <c r="AB71" i="1"/>
  <c r="U72" i="1"/>
  <c r="O73" i="1"/>
  <c r="L74" i="1"/>
  <c r="L75" i="1"/>
  <c r="AK75" i="1"/>
  <c r="AF76" i="1"/>
  <c r="AE77" i="1"/>
  <c r="X78" i="1"/>
  <c r="U79" i="1"/>
  <c r="Q80" i="1"/>
  <c r="N81" i="1"/>
  <c r="I82" i="1"/>
  <c r="H83" i="1"/>
  <c r="AG83" i="1"/>
  <c r="AC84" i="1"/>
  <c r="X85" i="1"/>
  <c r="T86" i="1"/>
  <c r="N87" i="1"/>
  <c r="J88" i="1"/>
  <c r="AH88" i="1"/>
  <c r="AC89" i="1"/>
  <c r="X90" i="1"/>
  <c r="Q91" i="1"/>
  <c r="M92" i="1"/>
  <c r="AJ92" i="1"/>
  <c r="AF93" i="1"/>
  <c r="Z94" i="1"/>
  <c r="T95" i="1"/>
  <c r="L96" i="1"/>
  <c r="J97" i="1"/>
  <c r="AH97" i="1"/>
  <c r="AC98" i="1"/>
  <c r="V99" i="1"/>
  <c r="P100" i="1"/>
  <c r="M101" i="1"/>
  <c r="AJ101" i="1"/>
  <c r="AC102" i="1"/>
  <c r="U103" i="1"/>
  <c r="P104" i="1"/>
  <c r="H105" i="1"/>
  <c r="AD105" i="1"/>
  <c r="X106" i="1"/>
  <c r="O107" i="1"/>
  <c r="H108" i="1"/>
  <c r="AG108" i="1"/>
  <c r="X109" i="1"/>
  <c r="R110" i="1"/>
  <c r="H111" i="1"/>
  <c r="AF111" i="1"/>
  <c r="X112" i="1"/>
  <c r="N113" i="1"/>
  <c r="AK113" i="1"/>
  <c r="AC114" i="1"/>
  <c r="S115" i="1"/>
  <c r="K116" i="1"/>
  <c r="AF116" i="1"/>
  <c r="V117" i="1"/>
  <c r="P118" i="1"/>
  <c r="AJ118" i="1"/>
  <c r="Z119" i="1"/>
  <c r="O120" i="1"/>
  <c r="AK120" i="1"/>
  <c r="Z121" i="1"/>
  <c r="Q122" i="1"/>
  <c r="AK122" i="1"/>
  <c r="Z123" i="1"/>
  <c r="R124" i="1"/>
  <c r="AL124" i="1"/>
  <c r="AA125" i="1"/>
  <c r="Q126" i="1"/>
  <c r="H127" i="1"/>
  <c r="AB127" i="1"/>
  <c r="Q128" i="1"/>
  <c r="AL128" i="1"/>
  <c r="AA129" i="1"/>
  <c r="R130" i="1"/>
  <c r="H131" i="1"/>
  <c r="AB131" i="1"/>
  <c r="R132" i="1"/>
  <c r="J133" i="1"/>
  <c r="AD133" i="1"/>
  <c r="S134" i="1"/>
  <c r="H135" i="1"/>
  <c r="AC135" i="1"/>
  <c r="T136" i="1"/>
  <c r="I137" i="1"/>
  <c r="AD137" i="1"/>
  <c r="S138" i="1"/>
  <c r="H139" i="1"/>
  <c r="AE139" i="1"/>
  <c r="T140" i="1"/>
  <c r="I141" i="1"/>
  <c r="AC141" i="1"/>
  <c r="V142" i="1"/>
  <c r="K143" i="1"/>
  <c r="AE143" i="1"/>
  <c r="U144" i="1"/>
  <c r="J145" i="1"/>
  <c r="AF145" i="1"/>
  <c r="V146" i="1"/>
  <c r="K147" i="1"/>
  <c r="AE147" i="1"/>
  <c r="W148" i="1"/>
  <c r="L149" i="1"/>
  <c r="AF149" i="1"/>
  <c r="U150" i="1"/>
  <c r="K151" i="1"/>
  <c r="AG151" i="1"/>
  <c r="W152" i="1"/>
  <c r="M153" i="1"/>
  <c r="AG153" i="1"/>
  <c r="R12" i="1"/>
  <c r="Z13" i="1"/>
  <c r="AG14" i="1"/>
  <c r="H16" i="1"/>
  <c r="Q17" i="1"/>
  <c r="T18" i="1"/>
  <c r="AA19" i="1"/>
  <c r="AL20" i="1"/>
  <c r="O22" i="1"/>
  <c r="P23" i="1"/>
  <c r="AD24" i="1"/>
  <c r="AG25" i="1"/>
  <c r="H27" i="1"/>
  <c r="N28" i="1"/>
  <c r="W29" i="1"/>
  <c r="AB30" i="1"/>
  <c r="AL31" i="1"/>
  <c r="N33" i="1"/>
  <c r="U34" i="1"/>
  <c r="X35" i="1"/>
  <c r="AJ36" i="1"/>
  <c r="K38" i="1"/>
  <c r="Q39" i="1"/>
  <c r="Y40" i="1"/>
  <c r="AH41" i="1"/>
  <c r="AL42" i="1"/>
  <c r="K44" i="1"/>
  <c r="U45" i="1"/>
  <c r="W46" i="1"/>
  <c r="AI47" i="1"/>
  <c r="O49" i="1"/>
  <c r="R50" i="1"/>
  <c r="U51" i="1"/>
  <c r="AG52" i="1"/>
  <c r="AL53" i="1"/>
  <c r="M55" i="1"/>
  <c r="V56" i="1"/>
  <c r="AA57" i="1"/>
  <c r="AC58" i="1"/>
  <c r="AC59" i="1"/>
  <c r="AC60" i="1"/>
  <c r="AB61" i="1"/>
  <c r="Z62" i="1"/>
  <c r="AD63" i="1"/>
  <c r="AC64" i="1"/>
  <c r="AD65" i="1"/>
  <c r="AC66" i="1"/>
  <c r="AC67" i="1"/>
  <c r="AB68" i="1"/>
  <c r="AC69" i="1"/>
  <c r="AD70" i="1"/>
  <c r="AE71" i="1"/>
  <c r="AB72" i="1"/>
  <c r="AD73" i="1"/>
  <c r="AC74" i="1"/>
  <c r="AD75" i="1"/>
  <c r="AD76" i="1"/>
  <c r="AF77" i="1"/>
  <c r="AC78" i="1"/>
  <c r="AG79" i="1"/>
  <c r="AC80" i="1"/>
  <c r="AD81" i="1"/>
  <c r="AB82" i="1"/>
  <c r="AE83" i="1"/>
  <c r="AD84" i="1"/>
  <c r="AF85" i="1"/>
  <c r="AB86" i="1"/>
  <c r="Y87" i="1"/>
  <c r="V88" i="1"/>
  <c r="T89" i="1"/>
  <c r="V90" i="1"/>
  <c r="R91" i="1"/>
  <c r="P92" i="1"/>
  <c r="N93" i="1"/>
  <c r="J94" i="1"/>
  <c r="K95" i="1"/>
  <c r="AL95" i="1"/>
  <c r="AJ96" i="1"/>
  <c r="AI97" i="1"/>
  <c r="AG98" i="1"/>
  <c r="AG99" i="1"/>
  <c r="AB100" i="1"/>
  <c r="Y101" i="1"/>
  <c r="U102" i="1"/>
  <c r="R103" i="1"/>
  <c r="Q104" i="1"/>
  <c r="K105" i="1"/>
  <c r="AK105" i="1"/>
  <c r="AH106" i="1"/>
  <c r="AD107" i="1"/>
  <c r="W108" i="1"/>
  <c r="V109" i="1"/>
  <c r="S110" i="1"/>
  <c r="N111" i="1"/>
  <c r="H112" i="1"/>
  <c r="AE112" i="1"/>
  <c r="AA113" i="1"/>
  <c r="S114" i="1"/>
  <c r="Q115" i="1"/>
  <c r="L116" i="1"/>
  <c r="AI116" i="1"/>
  <c r="AE117" i="1"/>
  <c r="Y118" i="1"/>
  <c r="R119" i="1"/>
  <c r="I120" i="1"/>
  <c r="AG120" i="1"/>
  <c r="AC121" i="1"/>
  <c r="T122" i="1"/>
  <c r="N123" i="1"/>
  <c r="AJ123" i="1"/>
  <c r="AA124" i="1"/>
  <c r="V125" i="1"/>
  <c r="N126" i="1"/>
  <c r="I127" i="1"/>
  <c r="AE127" i="1"/>
  <c r="W128" i="1"/>
  <c r="Q129" i="1"/>
  <c r="I130" i="1"/>
  <c r="AE130" i="1"/>
  <c r="Z131" i="1"/>
  <c r="S132" i="1"/>
  <c r="M133" i="1"/>
  <c r="AI133" i="1"/>
  <c r="AA134" i="1"/>
  <c r="T135" i="1"/>
  <c r="M136" i="1"/>
  <c r="AL136" i="1"/>
  <c r="AE137" i="1"/>
  <c r="V138" i="1"/>
  <c r="Q139" i="1"/>
  <c r="H140" i="1"/>
  <c r="AG140" i="1"/>
  <c r="X141" i="1"/>
  <c r="Q142" i="1"/>
  <c r="L143" i="1"/>
  <c r="AI143" i="1"/>
  <c r="AB144" i="1"/>
  <c r="T145" i="1"/>
  <c r="K146" i="1"/>
  <c r="AK146" i="1"/>
  <c r="AC147" i="1"/>
  <c r="X148" i="1"/>
  <c r="O149" i="1"/>
  <c r="AL149" i="1"/>
  <c r="AF150" i="1"/>
  <c r="W151" i="1"/>
  <c r="O152" i="1"/>
  <c r="I153" i="1"/>
  <c r="AH153" i="1"/>
  <c r="Z154" i="1"/>
  <c r="O155" i="1"/>
  <c r="AI155" i="1"/>
  <c r="Z156" i="1"/>
  <c r="O157" i="1"/>
  <c r="AH157" i="1"/>
  <c r="V158" i="1"/>
  <c r="J159" i="1"/>
  <c r="AE159" i="1"/>
  <c r="S160" i="1"/>
  <c r="AL160" i="1"/>
  <c r="AA161" i="1"/>
  <c r="Q162" i="1"/>
  <c r="AJ162" i="1"/>
  <c r="X163" i="1"/>
  <c r="L164" i="1"/>
  <c r="AE164" i="1"/>
  <c r="U165" i="1"/>
  <c r="I166" i="1"/>
  <c r="AB166" i="1"/>
  <c r="P167" i="1"/>
  <c r="AK167" i="1"/>
  <c r="Y168" i="1"/>
  <c r="M169" i="1"/>
  <c r="AF169" i="1"/>
  <c r="T170" i="1"/>
  <c r="K171" i="1"/>
  <c r="AD171" i="1"/>
  <c r="R172" i="1"/>
  <c r="AK172" i="1"/>
  <c r="AA173" i="1"/>
  <c r="O174" i="1"/>
  <c r="AH174" i="1"/>
  <c r="V175" i="1"/>
  <c r="J176" i="1"/>
  <c r="AE176" i="1"/>
  <c r="S177" i="1"/>
  <c r="AL177" i="1"/>
  <c r="Z178" i="1"/>
  <c r="N179" i="1"/>
  <c r="AI179" i="1"/>
  <c r="X180" i="1"/>
  <c r="L181" i="1"/>
  <c r="AE181" i="1"/>
  <c r="U182" i="1"/>
  <c r="I183" i="1"/>
  <c r="AB183" i="1"/>
  <c r="P184" i="1"/>
  <c r="AI184" i="1"/>
  <c r="Y185" i="1"/>
  <c r="M186" i="1"/>
  <c r="AF186" i="1"/>
  <c r="T187" i="1"/>
  <c r="J188" i="1"/>
  <c r="AC188" i="1"/>
  <c r="Q189" i="1"/>
  <c r="AK189" i="1"/>
  <c r="Y190" i="1"/>
  <c r="O191" i="1"/>
  <c r="AH191" i="1"/>
  <c r="V192" i="1"/>
  <c r="J193" i="1"/>
  <c r="AE193" i="1"/>
  <c r="S194" i="1"/>
  <c r="AL194" i="1"/>
  <c r="Z195" i="1"/>
  <c r="M196" i="1"/>
  <c r="AE196" i="1"/>
  <c r="S197" i="1"/>
  <c r="AK197" i="1"/>
  <c r="X198" i="1"/>
  <c r="K199" i="1"/>
  <c r="AB199" i="1"/>
  <c r="N200" i="1"/>
  <c r="AE200" i="1"/>
  <c r="Q201" i="1"/>
  <c r="AH201" i="1"/>
  <c r="T202" i="1"/>
  <c r="AK202" i="1"/>
  <c r="X203" i="1"/>
  <c r="J204" i="1"/>
  <c r="AA204" i="1"/>
  <c r="M205" i="1"/>
  <c r="AD205" i="1"/>
  <c r="P206" i="1"/>
  <c r="AG206" i="1"/>
  <c r="S207" i="1"/>
  <c r="AJ207" i="1"/>
  <c r="V208" i="1"/>
  <c r="H209" i="1"/>
  <c r="Y209" i="1"/>
  <c r="K210" i="1"/>
  <c r="AB210" i="1"/>
  <c r="N211" i="1"/>
  <c r="AF211" i="1"/>
  <c r="R212" i="1"/>
  <c r="AI212" i="1"/>
  <c r="U213" i="1"/>
  <c r="AL213" i="1"/>
  <c r="X214" i="1"/>
  <c r="J215" i="1"/>
  <c r="AA215" i="1"/>
  <c r="M216" i="1"/>
  <c r="AD216" i="1"/>
  <c r="P217" i="1"/>
  <c r="AG217" i="1"/>
  <c r="S218" i="1"/>
  <c r="AJ218" i="1"/>
  <c r="V219" i="1"/>
  <c r="H220" i="1"/>
  <c r="X220" i="1"/>
  <c r="I221" i="1"/>
  <c r="Y221" i="1"/>
  <c r="J222" i="1"/>
  <c r="Z222" i="1"/>
  <c r="K223" i="1"/>
  <c r="AA223" i="1"/>
  <c r="L224" i="1"/>
  <c r="AB224" i="1"/>
  <c r="M225" i="1"/>
  <c r="AC225" i="1"/>
  <c r="N226" i="1"/>
  <c r="AD226" i="1"/>
  <c r="O227" i="1"/>
  <c r="AE227" i="1"/>
  <c r="P228" i="1"/>
  <c r="AF228" i="1"/>
  <c r="Q229" i="1"/>
  <c r="AG229" i="1"/>
  <c r="R230" i="1"/>
  <c r="AH230" i="1"/>
  <c r="S231" i="1"/>
  <c r="AI231" i="1"/>
  <c r="T232" i="1"/>
  <c r="AJ232" i="1"/>
  <c r="U233" i="1"/>
  <c r="AK233" i="1"/>
  <c r="V234" i="1"/>
  <c r="AL234" i="1"/>
  <c r="W235" i="1"/>
  <c r="H236" i="1"/>
  <c r="X236" i="1"/>
  <c r="I237" i="1"/>
  <c r="Y237" i="1"/>
  <c r="J238" i="1"/>
  <c r="Z238" i="1"/>
  <c r="K239" i="1"/>
  <c r="AA239" i="1"/>
  <c r="L240" i="1"/>
  <c r="AB240" i="1"/>
  <c r="M241" i="1"/>
  <c r="AC241" i="1"/>
  <c r="N242" i="1"/>
  <c r="AD242" i="1"/>
  <c r="O243" i="1"/>
  <c r="AE243" i="1"/>
  <c r="P244" i="1"/>
  <c r="AF244" i="1"/>
  <c r="Q245" i="1"/>
  <c r="AG245" i="1"/>
  <c r="R246" i="1"/>
  <c r="AH246" i="1"/>
  <c r="S247" i="1"/>
  <c r="AI247" i="1"/>
  <c r="T248" i="1"/>
  <c r="AJ248" i="1"/>
  <c r="U249" i="1"/>
  <c r="AK249" i="1"/>
  <c r="V250" i="1"/>
  <c r="AL250" i="1"/>
  <c r="W251" i="1"/>
  <c r="H252" i="1"/>
  <c r="X252" i="1"/>
  <c r="I253" i="1"/>
  <c r="Y253" i="1"/>
  <c r="J254" i="1"/>
  <c r="Z254" i="1"/>
  <c r="K255" i="1"/>
  <c r="AA255" i="1"/>
  <c r="L256" i="1"/>
  <c r="AB256" i="1"/>
  <c r="M257" i="1"/>
  <c r="AC257" i="1"/>
  <c r="N258" i="1"/>
  <c r="AD258" i="1"/>
  <c r="O259" i="1"/>
  <c r="AE259" i="1"/>
  <c r="P260" i="1"/>
  <c r="AF260" i="1"/>
  <c r="T12" i="1"/>
  <c r="W88" i="1"/>
  <c r="I117" i="1"/>
  <c r="Y128" i="1"/>
  <c r="N133" i="1"/>
  <c r="N136" i="1"/>
  <c r="AF137" i="1"/>
  <c r="R139" i="1"/>
  <c r="AH140" i="1"/>
  <c r="R142" i="1"/>
  <c r="M143" i="1"/>
  <c r="AC144" i="1"/>
  <c r="M146" i="1"/>
  <c r="AD147" i="1"/>
  <c r="P149" i="1"/>
  <c r="I150" i="1"/>
  <c r="X151" i="1"/>
  <c r="R152" i="1"/>
  <c r="AI153" i="1"/>
  <c r="P155" i="1"/>
  <c r="AA156" i="1"/>
  <c r="AI157" i="1"/>
  <c r="W158" i="1"/>
  <c r="AF159" i="1"/>
  <c r="I161" i="1"/>
  <c r="R162" i="1"/>
  <c r="Y163" i="1"/>
  <c r="AH164" i="1"/>
  <c r="J166" i="1"/>
  <c r="AC166" i="1"/>
  <c r="AL167" i="1"/>
  <c r="Z168" i="1"/>
  <c r="AG169" i="1"/>
  <c r="L171" i="1"/>
  <c r="S172" i="1"/>
  <c r="AL172" i="1"/>
  <c r="P174" i="1"/>
  <c r="AA13" i="1"/>
  <c r="AH14" i="1"/>
  <c r="I16" i="1"/>
  <c r="R17" i="1"/>
  <c r="U18" i="1"/>
  <c r="AB19" i="1"/>
  <c r="H21" i="1"/>
  <c r="P22" i="1"/>
  <c r="Q23" i="1"/>
  <c r="AE24" i="1"/>
  <c r="AH25" i="1"/>
  <c r="I27" i="1"/>
  <c r="O28" i="1"/>
  <c r="Y29" i="1"/>
  <c r="AC30" i="1"/>
  <c r="H32" i="1"/>
  <c r="O33" i="1"/>
  <c r="V34" i="1"/>
  <c r="Y35" i="1"/>
  <c r="AK36" i="1"/>
  <c r="L38" i="1"/>
  <c r="S39" i="1"/>
  <c r="Z40" i="1"/>
  <c r="AI41" i="1"/>
  <c r="H43" i="1"/>
  <c r="P44" i="1"/>
  <c r="V45" i="1"/>
  <c r="AG46" i="1"/>
  <c r="AL47" i="1"/>
  <c r="P49" i="1"/>
  <c r="S50" i="1"/>
  <c r="V51" i="1"/>
  <c r="AH52" i="1"/>
  <c r="H54" i="1"/>
  <c r="P55" i="1"/>
  <c r="W56" i="1"/>
  <c r="AB57" i="1"/>
  <c r="AD58" i="1"/>
  <c r="AD59" i="1"/>
  <c r="AD60" i="1"/>
  <c r="AE61" i="1"/>
  <c r="AB62" i="1"/>
  <c r="AF63" i="1"/>
  <c r="AD64" i="1"/>
  <c r="AE65" i="1"/>
  <c r="AD66" i="1"/>
  <c r="AD67" i="1"/>
  <c r="AC68" i="1"/>
  <c r="AG69" i="1"/>
  <c r="AE70" i="1"/>
  <c r="AF71" i="1"/>
  <c r="AF72" i="1"/>
  <c r="AE73" i="1"/>
  <c r="AD74" i="1"/>
  <c r="AE75" i="1"/>
  <c r="AE76" i="1"/>
  <c r="AG77" i="1"/>
  <c r="AE78" i="1"/>
  <c r="AH79" i="1"/>
  <c r="AD80" i="1"/>
  <c r="AE81" i="1"/>
  <c r="AE82" i="1"/>
  <c r="AF83" i="1"/>
  <c r="AE84" i="1"/>
  <c r="AG85" i="1"/>
  <c r="AC86" i="1"/>
  <c r="AC87" i="1"/>
  <c r="U89" i="1"/>
  <c r="W90" i="1"/>
  <c r="S91" i="1"/>
  <c r="S92" i="1"/>
  <c r="O93" i="1"/>
  <c r="L94" i="1"/>
  <c r="L95" i="1"/>
  <c r="H96" i="1"/>
  <c r="AL96" i="1"/>
  <c r="AJ97" i="1"/>
  <c r="AI98" i="1"/>
  <c r="AH99" i="1"/>
  <c r="AC100" i="1"/>
  <c r="Z101" i="1"/>
  <c r="V102" i="1"/>
  <c r="S103" i="1"/>
  <c r="R104" i="1"/>
  <c r="L105" i="1"/>
  <c r="H106" i="1"/>
  <c r="AI106" i="1"/>
  <c r="AE107" i="1"/>
  <c r="AC108" i="1"/>
  <c r="W109" i="1"/>
  <c r="U110" i="1"/>
  <c r="O111" i="1"/>
  <c r="I112" i="1"/>
  <c r="AJ112" i="1"/>
  <c r="AB113" i="1"/>
  <c r="W114" i="1"/>
  <c r="R115" i="1"/>
  <c r="M116" i="1"/>
  <c r="AF117" i="1"/>
  <c r="Z118" i="1"/>
  <c r="S119" i="1"/>
  <c r="K120" i="1"/>
  <c r="AH120" i="1"/>
  <c r="AD121" i="1"/>
  <c r="U122" i="1"/>
  <c r="O123" i="1"/>
  <c r="AK123" i="1"/>
  <c r="AB124" i="1"/>
  <c r="W125" i="1"/>
  <c r="O126" i="1"/>
  <c r="J127" i="1"/>
  <c r="AF127" i="1"/>
  <c r="R129" i="1"/>
  <c r="J130" i="1"/>
  <c r="AH130" i="1"/>
  <c r="AA131" i="1"/>
  <c r="T132" i="1"/>
  <c r="AJ133" i="1"/>
  <c r="AD134" i="1"/>
  <c r="U135" i="1"/>
  <c r="H137" i="1"/>
  <c r="Y138" i="1"/>
  <c r="I140" i="1"/>
  <c r="Y141" i="1"/>
  <c r="AJ143" i="1"/>
  <c r="U145" i="1"/>
  <c r="AL146" i="1"/>
  <c r="Y148" i="1"/>
  <c r="AG150" i="1"/>
  <c r="L153" i="1"/>
  <c r="AA154" i="1"/>
  <c r="AJ155" i="1"/>
  <c r="P157" i="1"/>
  <c r="M159" i="1"/>
  <c r="T160" i="1"/>
  <c r="AB161" i="1"/>
  <c r="AK162" i="1"/>
  <c r="M164" i="1"/>
  <c r="V165" i="1"/>
  <c r="Q167" i="1"/>
  <c r="N169" i="1"/>
  <c r="X170" i="1"/>
  <c r="AE171" i="1"/>
  <c r="AB173" i="1"/>
  <c r="X12" i="1"/>
  <c r="AE13" i="1"/>
  <c r="AJ14" i="1"/>
  <c r="M16" i="1"/>
  <c r="T17" i="1"/>
  <c r="W18" i="1"/>
  <c r="AJ19" i="1"/>
  <c r="K21" i="1"/>
  <c r="S22" i="1"/>
  <c r="W23" i="1"/>
  <c r="AG24" i="1"/>
  <c r="H26" i="1"/>
  <c r="K27" i="1"/>
  <c r="U28" i="1"/>
  <c r="AF29" i="1"/>
  <c r="AI30" i="1"/>
  <c r="L32" i="1"/>
  <c r="Q33" i="1"/>
  <c r="X34" i="1"/>
  <c r="AE35" i="1"/>
  <c r="I37" i="1"/>
  <c r="O38" i="1"/>
  <c r="Z39" i="1"/>
  <c r="AD40" i="1"/>
  <c r="AL41" i="1"/>
  <c r="L43" i="1"/>
  <c r="S44" i="1"/>
  <c r="AB45" i="1"/>
  <c r="AJ46" i="1"/>
  <c r="M48" i="1"/>
  <c r="R49" i="1"/>
  <c r="W50" i="1"/>
  <c r="AH51" i="1"/>
  <c r="AJ52" i="1"/>
  <c r="O54" i="1"/>
  <c r="Y55" i="1"/>
  <c r="AE56" i="1"/>
  <c r="AD57" i="1"/>
  <c r="AH58" i="1"/>
  <c r="AI59" i="1"/>
  <c r="AH60" i="1"/>
  <c r="AH61" i="1"/>
  <c r="AL62" i="1"/>
  <c r="AH63" i="1"/>
  <c r="AI64" i="1"/>
  <c r="AI65" i="1"/>
  <c r="AK66" i="1"/>
  <c r="AG67" i="1"/>
  <c r="AK68" i="1"/>
  <c r="AJ69" i="1"/>
  <c r="AI70" i="1"/>
  <c r="AH71" i="1"/>
  <c r="AK72" i="1"/>
  <c r="AH73" i="1"/>
  <c r="AF74" i="1"/>
  <c r="AJ75" i="1"/>
  <c r="AL76" i="1"/>
  <c r="AI77" i="1"/>
  <c r="AK78" i="1"/>
  <c r="AK79" i="1"/>
  <c r="AG80" i="1"/>
  <c r="AH81" i="1"/>
  <c r="AL82" i="1"/>
  <c r="AL83" i="1"/>
  <c r="AH84" i="1"/>
  <c r="AI85" i="1"/>
  <c r="AE86" i="1"/>
  <c r="AE87" i="1"/>
  <c r="AB88" i="1"/>
  <c r="AB89" i="1"/>
  <c r="AA90" i="1"/>
  <c r="V91" i="1"/>
  <c r="U92" i="1"/>
  <c r="S93" i="1"/>
  <c r="P94" i="1"/>
  <c r="N95" i="1"/>
  <c r="K96" i="1"/>
  <c r="L97" i="1"/>
  <c r="K98" i="1"/>
  <c r="AK98" i="1"/>
  <c r="AK99" i="1"/>
  <c r="AE100" i="1"/>
  <c r="AD101" i="1"/>
  <c r="AB102" i="1"/>
  <c r="W103" i="1"/>
  <c r="T104" i="1"/>
  <c r="N105" i="1"/>
  <c r="M106" i="1"/>
  <c r="I107" i="1"/>
  <c r="AG107" i="1"/>
  <c r="AF108" i="1"/>
  <c r="AA109" i="1"/>
  <c r="Y110" i="1"/>
  <c r="S111" i="1"/>
  <c r="K112" i="1"/>
  <c r="AL112" i="1"/>
  <c r="AD113" i="1"/>
  <c r="AB114" i="1"/>
  <c r="W115" i="1"/>
  <c r="O116" i="1"/>
  <c r="K117" i="1"/>
  <c r="AI117" i="1"/>
  <c r="AB118" i="1"/>
  <c r="U119" i="1"/>
  <c r="N120" i="1"/>
  <c r="I121" i="1"/>
  <c r="AF121" i="1"/>
  <c r="W122" i="1"/>
  <c r="Q123" i="1"/>
  <c r="H124" i="1"/>
  <c r="AH124" i="1"/>
  <c r="Z125" i="1"/>
  <c r="S126" i="1"/>
  <c r="L127" i="1"/>
  <c r="AI127" i="1"/>
  <c r="AC128" i="1"/>
  <c r="U129" i="1"/>
  <c r="L130" i="1"/>
  <c r="AL130" i="1"/>
  <c r="AE131" i="1"/>
  <c r="Y132" i="1"/>
  <c r="P133" i="1"/>
  <c r="AL133" i="1"/>
  <c r="AF134" i="1"/>
  <c r="X135" i="1"/>
  <c r="S136" i="1"/>
  <c r="L137" i="1"/>
  <c r="AH137" i="1"/>
  <c r="AC138" i="1"/>
  <c r="T139" i="1"/>
  <c r="K140" i="1"/>
  <c r="AJ140" i="1"/>
  <c r="AB141" i="1"/>
  <c r="X142" i="1"/>
  <c r="O143" i="1"/>
  <c r="AL143" i="1"/>
  <c r="AE144" i="1"/>
  <c r="W145" i="1"/>
  <c r="Q146" i="1"/>
  <c r="J147" i="1"/>
  <c r="AG147" i="1"/>
  <c r="AA148" i="1"/>
  <c r="S149" i="1"/>
  <c r="M150" i="1"/>
  <c r="AI150" i="1"/>
  <c r="AA151" i="1"/>
  <c r="U152" i="1"/>
  <c r="O153" i="1"/>
  <c r="H154" i="1"/>
  <c r="AC154" i="1"/>
  <c r="R155" i="1"/>
  <c r="AL155" i="1"/>
  <c r="AC156" i="1"/>
  <c r="R157" i="1"/>
  <c r="AK157" i="1"/>
  <c r="Y158" i="1"/>
  <c r="O159" i="1"/>
  <c r="AI159" i="1"/>
  <c r="W160" i="1"/>
  <c r="K161" i="1"/>
  <c r="AF161" i="1"/>
  <c r="T162" i="1"/>
  <c r="H163" i="1"/>
  <c r="AA163" i="1"/>
  <c r="O164" i="1"/>
  <c r="AJ164" i="1"/>
  <c r="X165" i="1"/>
  <c r="L166" i="1"/>
  <c r="AE166" i="1"/>
  <c r="U167" i="1"/>
  <c r="I168" i="1"/>
  <c r="AB168" i="1"/>
  <c r="Q169" i="1"/>
  <c r="AJ169" i="1"/>
  <c r="Z170" i="1"/>
  <c r="N171" i="1"/>
  <c r="AG171" i="1"/>
  <c r="U172" i="1"/>
  <c r="K173" i="1"/>
  <c r="AD173" i="1"/>
  <c r="R174" i="1"/>
  <c r="AK174" i="1"/>
  <c r="Y175" i="1"/>
  <c r="O176" i="1"/>
  <c r="AH176" i="1"/>
  <c r="V177" i="1"/>
  <c r="J178" i="1"/>
  <c r="AF178" i="1"/>
  <c r="T179" i="1"/>
  <c r="H180" i="1"/>
  <c r="AA180" i="1"/>
  <c r="O181" i="1"/>
  <c r="AJ181" i="1"/>
  <c r="X182" i="1"/>
  <c r="L183" i="1"/>
  <c r="AE183" i="1"/>
  <c r="S184" i="1"/>
  <c r="I185" i="1"/>
  <c r="AB185" i="1"/>
  <c r="P186" i="1"/>
  <c r="AI186" i="1"/>
  <c r="Y187" i="1"/>
  <c r="N188" i="1"/>
  <c r="AG188" i="1"/>
  <c r="U189" i="1"/>
  <c r="I190" i="1"/>
  <c r="AD190" i="1"/>
  <c r="R191" i="1"/>
  <c r="AK191" i="1"/>
  <c r="Y192" i="1"/>
  <c r="O193" i="1"/>
  <c r="AH193" i="1"/>
  <c r="V194" i="1"/>
  <c r="J195" i="1"/>
  <c r="AC195" i="1"/>
  <c r="Q196" i="1"/>
  <c r="AI196" i="1"/>
  <c r="W197" i="1"/>
  <c r="J198" i="1"/>
  <c r="AB198" i="1"/>
  <c r="N199" i="1"/>
  <c r="AE199" i="1"/>
  <c r="Q200" i="1"/>
  <c r="AH200" i="1"/>
  <c r="T201" i="1"/>
  <c r="AL201" i="1"/>
  <c r="X202" i="1"/>
  <c r="J203" i="1"/>
  <c r="AA203" i="1"/>
  <c r="M204" i="1"/>
  <c r="AD204" i="1"/>
  <c r="P205" i="1"/>
  <c r="AG205" i="1"/>
  <c r="S206" i="1"/>
  <c r="AJ206" i="1"/>
  <c r="V207" i="1"/>
  <c r="H208" i="1"/>
  <c r="Y208" i="1"/>
  <c r="K209" i="1"/>
  <c r="AB209" i="1"/>
  <c r="O210" i="1"/>
  <c r="AF210" i="1"/>
  <c r="R211" i="1"/>
  <c r="AI211" i="1"/>
  <c r="U212" i="1"/>
  <c r="AL212" i="1"/>
  <c r="X213" i="1"/>
  <c r="J214" i="1"/>
  <c r="AA214" i="1"/>
  <c r="M215" i="1"/>
  <c r="AD215" i="1"/>
  <c r="P216" i="1"/>
  <c r="AG216" i="1"/>
  <c r="S217" i="1"/>
  <c r="AJ217" i="1"/>
  <c r="W218" i="1"/>
  <c r="I219" i="1"/>
  <c r="Z219" i="1"/>
  <c r="K220" i="1"/>
  <c r="AA220" i="1"/>
  <c r="L221" i="1"/>
  <c r="AB221" i="1"/>
  <c r="M222" i="1"/>
  <c r="AC222" i="1"/>
  <c r="N223" i="1"/>
  <c r="AD223" i="1"/>
  <c r="O224" i="1"/>
  <c r="AE224" i="1"/>
  <c r="P225" i="1"/>
  <c r="AF225" i="1"/>
  <c r="Q226" i="1"/>
  <c r="AG226" i="1"/>
  <c r="R227" i="1"/>
  <c r="AH227" i="1"/>
  <c r="S228" i="1"/>
  <c r="AI228" i="1"/>
  <c r="T229" i="1"/>
  <c r="AJ229" i="1"/>
  <c r="U230" i="1"/>
  <c r="AK230" i="1"/>
  <c r="V231" i="1"/>
  <c r="AL231" i="1"/>
  <c r="W232" i="1"/>
  <c r="H233" i="1"/>
  <c r="X233" i="1"/>
  <c r="I234" i="1"/>
  <c r="Y234" i="1"/>
  <c r="J235" i="1"/>
  <c r="Z235" i="1"/>
  <c r="K236" i="1"/>
  <c r="AA236" i="1"/>
  <c r="L237" i="1"/>
  <c r="AB237" i="1"/>
  <c r="M238" i="1"/>
  <c r="AC238" i="1"/>
  <c r="N239" i="1"/>
  <c r="AD239" i="1"/>
  <c r="O240" i="1"/>
  <c r="AE240" i="1"/>
  <c r="P241" i="1"/>
  <c r="AF241" i="1"/>
  <c r="Q242" i="1"/>
  <c r="AG242" i="1"/>
  <c r="R243" i="1"/>
  <c r="AH243" i="1"/>
  <c r="S244" i="1"/>
  <c r="AI244" i="1"/>
  <c r="T245" i="1"/>
  <c r="AJ245" i="1"/>
  <c r="U246" i="1"/>
  <c r="AK246" i="1"/>
  <c r="V247" i="1"/>
  <c r="AL247" i="1"/>
  <c r="W248" i="1"/>
  <c r="H249" i="1"/>
  <c r="X249" i="1"/>
  <c r="I250" i="1"/>
  <c r="Y250" i="1"/>
  <c r="J251" i="1"/>
  <c r="Z251" i="1"/>
  <c r="K252" i="1"/>
  <c r="AA252" i="1"/>
  <c r="L253" i="1"/>
  <c r="AB253" i="1"/>
  <c r="M254" i="1"/>
  <c r="AC254" i="1"/>
  <c r="N255" i="1"/>
  <c r="AD255" i="1"/>
  <c r="O256" i="1"/>
  <c r="AE256" i="1"/>
  <c r="P257" i="1"/>
  <c r="AF257" i="1"/>
  <c r="Q258" i="1"/>
  <c r="AG258" i="1"/>
  <c r="R259" i="1"/>
  <c r="AH259" i="1"/>
  <c r="S260" i="1"/>
  <c r="AI260" i="1"/>
  <c r="AA12" i="1"/>
  <c r="V12" i="1"/>
  <c r="H14" i="1"/>
  <c r="X15" i="1"/>
  <c r="AI16" i="1"/>
  <c r="V18" i="1"/>
  <c r="K20" i="1"/>
  <c r="Z21" i="1"/>
  <c r="K23" i="1"/>
  <c r="AF12" i="1"/>
  <c r="R14" i="1"/>
  <c r="AE15" i="1"/>
  <c r="S17" i="1"/>
  <c r="H19" i="1"/>
  <c r="S20" i="1"/>
  <c r="AE21" i="1"/>
  <c r="O23" i="1"/>
  <c r="AJ24" i="1"/>
  <c r="Z26" i="1"/>
  <c r="AH27" i="1"/>
  <c r="P29" i="1"/>
  <c r="H31" i="1"/>
  <c r="V32" i="1"/>
  <c r="AK33" i="1"/>
  <c r="U35" i="1"/>
  <c r="H37" i="1"/>
  <c r="Z38" i="1"/>
  <c r="AJ39" i="1"/>
  <c r="V41" i="1"/>
  <c r="AF42" i="1"/>
  <c r="AA44" i="1"/>
  <c r="K46" i="1"/>
  <c r="V47" i="1"/>
  <c r="H49" i="1"/>
  <c r="Z50" i="1"/>
  <c r="I52" i="1"/>
  <c r="X53" i="1"/>
  <c r="I55" i="1"/>
  <c r="AD56" i="1"/>
  <c r="AI57" i="1"/>
  <c r="P59" i="1"/>
  <c r="V60" i="1"/>
  <c r="AA61" i="1"/>
  <c r="I63" i="1"/>
  <c r="M64" i="1"/>
  <c r="S65" i="1"/>
  <c r="Y66" i="1"/>
  <c r="AJ67" i="1"/>
  <c r="L69" i="1"/>
  <c r="P70" i="1"/>
  <c r="Z71" i="1"/>
  <c r="AJ72" i="1"/>
  <c r="I74" i="1"/>
  <c r="Q75" i="1"/>
  <c r="U76" i="1"/>
  <c r="AD77" i="1"/>
  <c r="I79" i="1"/>
  <c r="L80" i="1"/>
  <c r="T81" i="1"/>
  <c r="X82" i="1"/>
  <c r="H84" i="1"/>
  <c r="N85" i="1"/>
  <c r="R86" i="1"/>
  <c r="U87" i="1"/>
  <c r="AA88" i="1"/>
  <c r="AI89" i="1"/>
  <c r="AG90" i="1"/>
  <c r="H92" i="1"/>
  <c r="L93" i="1"/>
  <c r="T94" i="1"/>
  <c r="W95" i="1"/>
  <c r="AA96" i="1"/>
  <c r="AE97" i="1"/>
  <c r="I99" i="1"/>
  <c r="J100" i="1"/>
  <c r="P101" i="1"/>
  <c r="O102" i="1"/>
  <c r="V103" i="1"/>
  <c r="X104" i="1"/>
  <c r="Z105" i="1"/>
  <c r="AA106" i="1"/>
  <c r="AC107" i="1"/>
  <c r="AI108" i="1"/>
  <c r="AK109" i="1"/>
  <c r="AI110" i="1"/>
  <c r="AK111" i="1"/>
  <c r="H113" i="1"/>
  <c r="J114" i="1"/>
  <c r="AL114" i="1"/>
  <c r="AJ115" i="1"/>
  <c r="J117" i="1"/>
  <c r="AL117" i="1"/>
  <c r="AL118" i="1"/>
  <c r="AJ119" i="1"/>
  <c r="AE120" i="1"/>
  <c r="AH121" i="1"/>
  <c r="AE122" i="1"/>
  <c r="AE123" i="1"/>
  <c r="Y124" i="1"/>
  <c r="AB125" i="1"/>
  <c r="Y126" i="1"/>
  <c r="U127" i="1"/>
  <c r="T128" i="1"/>
  <c r="T129" i="1"/>
  <c r="S130" i="1"/>
  <c r="O131" i="1"/>
  <c r="L132" i="1"/>
  <c r="L133" i="1"/>
  <c r="J134" i="1"/>
  <c r="J135" i="1"/>
  <c r="AK135" i="1"/>
  <c r="AG136" i="1"/>
  <c r="AI137" i="1"/>
  <c r="AG138" i="1"/>
  <c r="AF139" i="1"/>
  <c r="AA140" i="1"/>
  <c r="AA141" i="1"/>
  <c r="AA142" i="1"/>
  <c r="X143" i="1"/>
  <c r="V144" i="1"/>
  <c r="R145" i="1"/>
  <c r="U146" i="1"/>
  <c r="P147" i="1"/>
  <c r="N148" i="1"/>
  <c r="AI12" i="1"/>
  <c r="S14" i="1"/>
  <c r="AJ15" i="1"/>
  <c r="U17" i="1"/>
  <c r="I19" i="1"/>
  <c r="V20" i="1"/>
  <c r="AG21" i="1"/>
  <c r="V23" i="1"/>
  <c r="AK24" i="1"/>
  <c r="AA26" i="1"/>
  <c r="I28" i="1"/>
  <c r="Q29" i="1"/>
  <c r="L31" i="1"/>
  <c r="W32" i="1"/>
  <c r="AL33" i="1"/>
  <c r="V35" i="1"/>
  <c r="K37" i="1"/>
  <c r="AA38" i="1"/>
  <c r="AK39" i="1"/>
  <c r="W41" i="1"/>
  <c r="K43" i="1"/>
  <c r="AC44" i="1"/>
  <c r="N46" i="1"/>
  <c r="Y47" i="1"/>
  <c r="I49" i="1"/>
  <c r="AA50" i="1"/>
  <c r="K52" i="1"/>
  <c r="AA53" i="1"/>
  <c r="J55" i="1"/>
  <c r="AF56" i="1"/>
  <c r="AJ57" i="1"/>
  <c r="R59" i="1"/>
  <c r="W60" i="1"/>
  <c r="AG61" i="1"/>
  <c r="J63" i="1"/>
  <c r="N64" i="1"/>
  <c r="W65" i="1"/>
  <c r="Z66" i="1"/>
  <c r="AK67" i="1"/>
  <c r="O69" i="1"/>
  <c r="Q70" i="1"/>
  <c r="AC71" i="1"/>
  <c r="AL72" i="1"/>
  <c r="K74" i="1"/>
  <c r="R75" i="1"/>
  <c r="V76" i="1"/>
  <c r="AH77" i="1"/>
  <c r="J79" i="1"/>
  <c r="O80" i="1"/>
  <c r="U81" i="1"/>
  <c r="Y82" i="1"/>
  <c r="I84" i="1"/>
  <c r="O85" i="1"/>
  <c r="S86" i="1"/>
  <c r="V87" i="1"/>
  <c r="AE88" i="1"/>
  <c r="AJ89" i="1"/>
  <c r="AH90" i="1"/>
  <c r="I92" i="1"/>
  <c r="R93" i="1"/>
  <c r="X94" i="1"/>
  <c r="X95" i="1"/>
  <c r="AB96" i="1"/>
  <c r="AF97" i="1"/>
  <c r="J99" i="1"/>
  <c r="L100" i="1"/>
  <c r="Q101" i="1"/>
  <c r="R102" i="1"/>
  <c r="Z103" i="1"/>
  <c r="Y104" i="1"/>
  <c r="AB105" i="1"/>
  <c r="AB106" i="1"/>
  <c r="AF107" i="1"/>
  <c r="AJ108" i="1"/>
  <c r="AL109" i="1"/>
  <c r="AK110" i="1"/>
  <c r="AL111" i="1"/>
  <c r="I113" i="1"/>
  <c r="K114" i="1"/>
  <c r="H115" i="1"/>
  <c r="I116" i="1"/>
  <c r="L117" i="1"/>
  <c r="J118" i="1"/>
  <c r="H119" i="1"/>
  <c r="AK119" i="1"/>
  <c r="AB12" i="1"/>
  <c r="V14" i="1"/>
  <c r="X16" i="1"/>
  <c r="N18" i="1"/>
  <c r="J20" i="1"/>
  <c r="AI21" i="1"/>
  <c r="AI23" i="1"/>
  <c r="Y25" i="1"/>
  <c r="R27" i="1"/>
  <c r="AI28" i="1"/>
  <c r="X30" i="1"/>
  <c r="U32" i="1"/>
  <c r="N34" i="1"/>
  <c r="J36" i="1"/>
  <c r="Y37" i="1"/>
  <c r="M39" i="1"/>
  <c r="J41" i="1"/>
  <c r="AC42" i="1"/>
  <c r="Z44" i="1"/>
  <c r="Q46" i="1"/>
  <c r="L48" i="1"/>
  <c r="AA49" i="1"/>
  <c r="R51" i="1"/>
  <c r="L53" i="1"/>
  <c r="AD54" i="1"/>
  <c r="Q56" i="1"/>
  <c r="N58" i="1"/>
  <c r="Y59" i="1"/>
  <c r="J61" i="1"/>
  <c r="T62" i="1"/>
  <c r="AG63" i="1"/>
  <c r="N65" i="1"/>
  <c r="W66" i="1"/>
  <c r="N68" i="1"/>
  <c r="S69" i="1"/>
  <c r="H71" i="1"/>
  <c r="Q72" i="1"/>
  <c r="AB73" i="1"/>
  <c r="N75" i="1"/>
  <c r="T76" i="1"/>
  <c r="AK77" i="1"/>
  <c r="S79" i="1"/>
  <c r="AB80" i="1"/>
  <c r="N82" i="1"/>
  <c r="V83" i="1"/>
  <c r="H85" i="1"/>
  <c r="L86" i="1"/>
  <c r="AD87" i="1"/>
  <c r="H89" i="1"/>
  <c r="L90" i="1"/>
  <c r="Z91" i="1"/>
  <c r="AH92" i="1"/>
  <c r="I94" i="1"/>
  <c r="V95" i="1"/>
  <c r="AD96" i="1"/>
  <c r="N98" i="1"/>
  <c r="U99" i="1"/>
  <c r="AD100" i="1"/>
  <c r="J102" i="1"/>
  <c r="M103" i="1"/>
  <c r="W104" i="1"/>
  <c r="AE105" i="1"/>
  <c r="J107" i="1"/>
  <c r="O108" i="1"/>
  <c r="S109" i="1"/>
  <c r="AB110" i="1"/>
  <c r="AD111" i="1"/>
  <c r="AK112" i="1"/>
  <c r="M114" i="1"/>
  <c r="O115" i="1"/>
  <c r="U116" i="1"/>
  <c r="AA117" i="1"/>
  <c r="AE118" i="1"/>
  <c r="AE119" i="1"/>
  <c r="AD120" i="1"/>
  <c r="AI121" i="1"/>
  <c r="AH122" i="1"/>
  <c r="AH123" i="1"/>
  <c r="AK124" i="1"/>
  <c r="AJ125" i="1"/>
  <c r="AG126" i="1"/>
  <c r="AK127" i="1"/>
  <c r="AJ128" i="1"/>
  <c r="AJ129" i="1"/>
  <c r="AK130" i="1"/>
  <c r="AL131" i="1"/>
  <c r="AG132" i="1"/>
  <c r="AH133" i="1"/>
  <c r="AK134" i="1"/>
  <c r="AJ135" i="1"/>
  <c r="AJ136" i="1"/>
  <c r="I138" i="1"/>
  <c r="AK138" i="1"/>
  <c r="AK139" i="1"/>
  <c r="H141" i="1"/>
  <c r="H142" i="1"/>
  <c r="AI142" i="1"/>
  <c r="J144" i="1"/>
  <c r="H145" i="1"/>
  <c r="AL145" i="1"/>
  <c r="I147" i="1"/>
  <c r="I148" i="1"/>
  <c r="AJ148" i="1"/>
  <c r="AI149" i="1"/>
  <c r="AJ150" i="1"/>
  <c r="AJ151" i="1"/>
  <c r="AE152" i="1"/>
  <c r="AB153" i="1"/>
  <c r="AB154" i="1"/>
  <c r="U155" i="1"/>
  <c r="Q156" i="1"/>
  <c r="K157" i="1"/>
  <c r="AG157" i="1"/>
  <c r="AD158" i="1"/>
  <c r="U159" i="1"/>
  <c r="N160" i="1"/>
  <c r="AJ160" i="1"/>
  <c r="AG161" i="1"/>
  <c r="X162" i="1"/>
  <c r="Q163" i="1"/>
  <c r="I164" i="1"/>
  <c r="AI164" i="1"/>
  <c r="AA165" i="1"/>
  <c r="U166" i="1"/>
  <c r="L167" i="1"/>
  <c r="AH167" i="1"/>
  <c r="AE168" i="1"/>
  <c r="X169" i="1"/>
  <c r="O170" i="1"/>
  <c r="AK170" i="1"/>
  <c r="AH171" i="1"/>
  <c r="AA172" i="1"/>
  <c r="R173" i="1"/>
  <c r="L174" i="1"/>
  <c r="AI174" i="1"/>
  <c r="Z175" i="1"/>
  <c r="R176" i="1"/>
  <c r="I177" i="1"/>
  <c r="AF177" i="1"/>
  <c r="V178" i="1"/>
  <c r="L179" i="1"/>
  <c r="AK179" i="1"/>
  <c r="AB180" i="1"/>
  <c r="T181" i="1"/>
  <c r="J182" i="1"/>
  <c r="AE182" i="1"/>
  <c r="X183" i="1"/>
  <c r="N184" i="1"/>
  <c r="AL184" i="1"/>
  <c r="AC185" i="1"/>
  <c r="T186" i="1"/>
  <c r="L187" i="1"/>
  <c r="AG187" i="1"/>
  <c r="W188" i="1"/>
  <c r="O189" i="1"/>
  <c r="AL189" i="1"/>
  <c r="AE190" i="1"/>
  <c r="U191" i="1"/>
  <c r="K192" i="1"/>
  <c r="AH192" i="1"/>
  <c r="Y193" i="1"/>
  <c r="Q194" i="1"/>
  <c r="H195" i="1"/>
  <c r="AD195" i="1"/>
  <c r="U196" i="1"/>
  <c r="J197" i="1"/>
  <c r="AD197" i="1"/>
  <c r="T198" i="1"/>
  <c r="I199" i="1"/>
  <c r="AC199" i="1"/>
  <c r="R200" i="1"/>
  <c r="AL200" i="1"/>
  <c r="Z201" i="1"/>
  <c r="N202" i="1"/>
  <c r="AG202" i="1"/>
  <c r="U203" i="1"/>
  <c r="K204" i="1"/>
  <c r="AE204" i="1"/>
  <c r="S205" i="1"/>
  <c r="AL205" i="1"/>
  <c r="AA206" i="1"/>
  <c r="O207" i="1"/>
  <c r="AH207" i="1"/>
  <c r="W208" i="1"/>
  <c r="L209" i="1"/>
  <c r="AF209" i="1"/>
  <c r="T210" i="1"/>
  <c r="H211" i="1"/>
  <c r="AA211" i="1"/>
  <c r="O212" i="1"/>
  <c r="AJ212" i="1"/>
  <c r="Y213" i="1"/>
  <c r="M214" i="1"/>
  <c r="AF214" i="1"/>
  <c r="U215" i="1"/>
  <c r="I216" i="1"/>
  <c r="AB216" i="1"/>
  <c r="Q217" i="1"/>
  <c r="AL217" i="1"/>
  <c r="Z218" i="1"/>
  <c r="N219" i="1"/>
  <c r="AG219" i="1"/>
  <c r="T220" i="1"/>
  <c r="AL220" i="1"/>
  <c r="Z221" i="1"/>
  <c r="N222" i="1"/>
  <c r="AF222" i="1"/>
  <c r="S223" i="1"/>
  <c r="AK223" i="1"/>
  <c r="X224" i="1"/>
  <c r="K225" i="1"/>
  <c r="AD225" i="1"/>
  <c r="R226" i="1"/>
  <c r="AJ226" i="1"/>
  <c r="W227" i="1"/>
  <c r="J228" i="1"/>
  <c r="AB228" i="1"/>
  <c r="O229" i="1"/>
  <c r="AH229" i="1"/>
  <c r="V230" i="1"/>
  <c r="I231" i="1"/>
  <c r="AA231" i="1"/>
  <c r="N232" i="1"/>
  <c r="AF232" i="1"/>
  <c r="S233" i="1"/>
  <c r="AL233" i="1"/>
  <c r="Z234" i="1"/>
  <c r="M235" i="1"/>
  <c r="AE235" i="1"/>
  <c r="R236" i="1"/>
  <c r="AJ236" i="1"/>
  <c r="W237" i="1"/>
  <c r="K238" i="1"/>
  <c r="AD238" i="1"/>
  <c r="Q239" i="1"/>
  <c r="AI239" i="1"/>
  <c r="V240" i="1"/>
  <c r="I241" i="1"/>
  <c r="AA241" i="1"/>
  <c r="O242" i="1"/>
  <c r="AH242" i="1"/>
  <c r="U243" i="1"/>
  <c r="H244" i="1"/>
  <c r="Z244" i="1"/>
  <c r="M245" i="1"/>
  <c r="AE245" i="1"/>
  <c r="S246" i="1"/>
  <c r="AL246" i="1"/>
  <c r="Y247" i="1"/>
  <c r="L248" i="1"/>
  <c r="AD248" i="1"/>
  <c r="Q249" i="1"/>
  <c r="AI249" i="1"/>
  <c r="W250" i="1"/>
  <c r="K251" i="1"/>
  <c r="AC251" i="1"/>
  <c r="P252" i="1"/>
  <c r="AH252" i="1"/>
  <c r="U253" i="1"/>
  <c r="H254" i="1"/>
  <c r="AA254" i="1"/>
  <c r="O255" i="1"/>
  <c r="AG255" i="1"/>
  <c r="T256" i="1"/>
  <c r="AL256" i="1"/>
  <c r="Y257" i="1"/>
  <c r="L258" i="1"/>
  <c r="AE258" i="1"/>
  <c r="S259" i="1"/>
  <c r="AK259" i="1"/>
  <c r="X260" i="1"/>
  <c r="AE12" i="1"/>
  <c r="I22" i="1"/>
  <c r="Z25" i="1"/>
  <c r="W27" i="1"/>
  <c r="AJ28" i="1"/>
  <c r="X32" i="1"/>
  <c r="O34" i="1"/>
  <c r="L36" i="1"/>
  <c r="AB37" i="1"/>
  <c r="W39" i="1"/>
  <c r="K41" i="1"/>
  <c r="AD44" i="1"/>
  <c r="R46" i="1"/>
  <c r="N48" i="1"/>
  <c r="AC49" i="1"/>
  <c r="S51" i="1"/>
  <c r="S53" i="1"/>
  <c r="AE54" i="1"/>
  <c r="AG56" i="1"/>
  <c r="Q58" i="1"/>
  <c r="K61" i="1"/>
  <c r="U62" i="1"/>
  <c r="AL63" i="1"/>
  <c r="O65" i="1"/>
  <c r="AJ66" i="1"/>
  <c r="P68" i="1"/>
  <c r="V69" i="1"/>
  <c r="I71" i="1"/>
  <c r="S72" i="1"/>
  <c r="AC73" i="1"/>
  <c r="O75" i="1"/>
  <c r="X76" i="1"/>
  <c r="J78" i="1"/>
  <c r="T79" i="1"/>
  <c r="Q82" i="1"/>
  <c r="W83" i="1"/>
  <c r="K85" i="1"/>
  <c r="U86" i="1"/>
  <c r="AF87" i="1"/>
  <c r="J89" i="1"/>
  <c r="M90" i="1"/>
  <c r="AD91" i="1"/>
  <c r="AI92" i="1"/>
  <c r="O94" i="1"/>
  <c r="Y95" i="1"/>
  <c r="AH96" i="1"/>
  <c r="O98" i="1"/>
  <c r="AG100" i="1"/>
  <c r="K102" i="1"/>
  <c r="N103" i="1"/>
  <c r="Z104" i="1"/>
  <c r="AF105" i="1"/>
  <c r="K107" i="1"/>
  <c r="Q108" i="1"/>
  <c r="T109" i="1"/>
  <c r="AC110" i="1"/>
  <c r="AI111" i="1"/>
  <c r="L113" i="1"/>
  <c r="N114" i="1"/>
  <c r="Y116" i="1"/>
  <c r="AB117" i="1"/>
  <c r="AF118" i="1"/>
  <c r="AH119" i="1"/>
  <c r="AL120" i="1"/>
  <c r="AJ121" i="1"/>
  <c r="AJ122" i="1"/>
  <c r="AI123" i="1"/>
  <c r="H125" i="1"/>
  <c r="AK125" i="1"/>
  <c r="AL127" i="1"/>
  <c r="AK128" i="1"/>
  <c r="AK129" i="1"/>
  <c r="I131" i="1"/>
  <c r="H132" i="1"/>
  <c r="AI132" i="1"/>
  <c r="AK133" i="1"/>
  <c r="AL134" i="1"/>
  <c r="J137" i="1"/>
  <c r="J138" i="1"/>
  <c r="AL138" i="1"/>
  <c r="AL139" i="1"/>
  <c r="J141" i="1"/>
  <c r="H143" i="1"/>
  <c r="K144" i="1"/>
  <c r="I145" i="1"/>
  <c r="H146" i="1"/>
  <c r="K148" i="1"/>
  <c r="J149" i="1"/>
  <c r="AK149" i="1"/>
  <c r="AK150" i="1"/>
  <c r="AF152" i="1"/>
  <c r="AE153" i="1"/>
  <c r="AD154" i="1"/>
  <c r="V155" i="1"/>
  <c r="L157" i="1"/>
  <c r="AJ157" i="1"/>
  <c r="V159" i="1"/>
  <c r="AK160" i="1"/>
  <c r="Y162" i="1"/>
  <c r="J164" i="1"/>
  <c r="AB165" i="1"/>
  <c r="V166" i="1"/>
  <c r="H168" i="1"/>
  <c r="Y169" i="1"/>
  <c r="I171" i="1"/>
  <c r="AI171" i="1"/>
  <c r="S173" i="1"/>
  <c r="AJ174" i="1"/>
  <c r="AC175" i="1"/>
  <c r="J177" i="1"/>
  <c r="W178" i="1"/>
  <c r="AL179" i="1"/>
  <c r="U181" i="1"/>
  <c r="AF182" i="1"/>
  <c r="O184" i="1"/>
  <c r="AD185" i="1"/>
  <c r="M187" i="1"/>
  <c r="Z188" i="1"/>
  <c r="H190" i="1"/>
  <c r="V191" i="1"/>
  <c r="N192" i="1"/>
  <c r="Z193" i="1"/>
  <c r="I195" i="1"/>
  <c r="V196" i="1"/>
  <c r="AE197" i="1"/>
  <c r="J199" i="1"/>
  <c r="S200" i="1"/>
  <c r="AA201" i="1"/>
  <c r="AH202" i="1"/>
  <c r="L204" i="1"/>
  <c r="T205" i="1"/>
  <c r="AB206" i="1"/>
  <c r="AI207" i="1"/>
  <c r="N209" i="1"/>
  <c r="U210" i="1"/>
  <c r="AB211" i="1"/>
  <c r="AK212" i="1"/>
  <c r="N214" i="1"/>
  <c r="V215" i="1"/>
  <c r="AC216" i="1"/>
  <c r="H218" i="1"/>
  <c r="O219" i="1"/>
  <c r="U220" i="1"/>
  <c r="AA221" i="1"/>
  <c r="AG222" i="1"/>
  <c r="AL223" i="1"/>
  <c r="L225" i="1"/>
  <c r="S226" i="1"/>
  <c r="X227" i="1"/>
  <c r="AC228" i="1"/>
  <c r="AI229" i="1"/>
  <c r="J231" i="1"/>
  <c r="O232" i="1"/>
  <c r="T233" i="1"/>
  <c r="AA234" i="1"/>
  <c r="AF235" i="1"/>
  <c r="AK236" i="1"/>
  <c r="AE238" i="1"/>
  <c r="AJ239" i="1"/>
  <c r="J241" i="1"/>
  <c r="P242" i="1"/>
  <c r="V243" i="1"/>
  <c r="AA244" i="1"/>
  <c r="T246" i="1"/>
  <c r="Z247" i="1"/>
  <c r="AE248" i="1"/>
  <c r="AJ249" i="1"/>
  <c r="L251" i="1"/>
  <c r="Q252" i="1"/>
  <c r="V253" i="1"/>
  <c r="AB254" i="1"/>
  <c r="AH255" i="1"/>
  <c r="H257" i="1"/>
  <c r="M258" i="1"/>
  <c r="T259" i="1"/>
  <c r="Y260" i="1"/>
  <c r="AJ12" i="1"/>
  <c r="AB16" i="1"/>
  <c r="P18" i="1"/>
  <c r="R20" i="1"/>
  <c r="R22" i="1"/>
  <c r="AK23" i="1"/>
  <c r="AA25" i="1"/>
  <c r="Y27" i="1"/>
  <c r="AK28" i="1"/>
  <c r="AH30" i="1"/>
  <c r="Z32" i="1"/>
  <c r="P34" i="1"/>
  <c r="M36" i="1"/>
  <c r="AD37" i="1"/>
  <c r="L41" i="1"/>
  <c r="AE42" i="1"/>
  <c r="AG44" i="1"/>
  <c r="S46" i="1"/>
  <c r="AH49" i="1"/>
  <c r="T51" i="1"/>
  <c r="H55" i="1"/>
  <c r="R58" i="1"/>
  <c r="O61" i="1"/>
  <c r="H64" i="1"/>
  <c r="AL66" i="1"/>
  <c r="Y69" i="1"/>
  <c r="T72" i="1"/>
  <c r="P75" i="1"/>
  <c r="K78" i="1"/>
  <c r="H81" i="1"/>
  <c r="AA83" i="1"/>
  <c r="Y86" i="1"/>
  <c r="K89" i="1"/>
  <c r="AE91" i="1"/>
  <c r="S94" i="1"/>
  <c r="K97" i="1"/>
  <c r="Y99" i="1"/>
  <c r="L102" i="1"/>
  <c r="AB104" i="1"/>
  <c r="M107" i="1"/>
  <c r="Y109" i="1"/>
  <c r="AJ111" i="1"/>
  <c r="O114" i="1"/>
  <c r="Z116" i="1"/>
  <c r="AH118" i="1"/>
  <c r="J121" i="1"/>
  <c r="AL122" i="1"/>
  <c r="I125" i="1"/>
  <c r="AJ126" i="1"/>
  <c r="H129" i="1"/>
  <c r="K131" i="1"/>
  <c r="AK132" i="1"/>
  <c r="K135" i="1"/>
  <c r="M137" i="1"/>
  <c r="K139" i="1"/>
  <c r="L141" i="1"/>
  <c r="J143" i="1"/>
  <c r="M145" i="1"/>
  <c r="I146" i="1"/>
  <c r="L148" i="1"/>
  <c r="L150" i="1"/>
  <c r="AL151" i="1"/>
  <c r="AI152" i="1"/>
  <c r="AE154" i="1"/>
  <c r="S156" i="1"/>
  <c r="AL157" i="1"/>
  <c r="W159" i="1"/>
  <c r="J161" i="1"/>
  <c r="Z162" i="1"/>
  <c r="S163" i="1"/>
  <c r="AL164" i="1"/>
  <c r="W166" i="1"/>
  <c r="J168" i="1"/>
  <c r="Z169" i="1"/>
  <c r="M171" i="1"/>
  <c r="AC172" i="1"/>
  <c r="N174" i="1"/>
  <c r="AD175" i="1"/>
  <c r="K177" i="1"/>
  <c r="X178" i="1"/>
  <c r="I180" i="1"/>
  <c r="AD180" i="1"/>
  <c r="L182" i="1"/>
  <c r="Z183" i="1"/>
  <c r="J185" i="1"/>
  <c r="X186" i="1"/>
  <c r="AI187" i="1"/>
  <c r="AA188" i="1"/>
  <c r="L190" i="1"/>
  <c r="W191" i="1"/>
  <c r="AK192" i="1"/>
  <c r="T194" i="1"/>
  <c r="AH195" i="1"/>
  <c r="L197" i="1"/>
  <c r="V198" i="1"/>
  <c r="L199" i="1"/>
  <c r="U200" i="1"/>
  <c r="AB201" i="1"/>
  <c r="AI202" i="1"/>
  <c r="N204" i="1"/>
  <c r="U205" i="1"/>
  <c r="AC206" i="1"/>
  <c r="AK207" i="1"/>
  <c r="O209" i="1"/>
  <c r="V210" i="1"/>
  <c r="J211" i="1"/>
  <c r="S212" i="1"/>
  <c r="AA213" i="1"/>
  <c r="AI214" i="1"/>
  <c r="K216" i="1"/>
  <c r="T217" i="1"/>
  <c r="AB218" i="1"/>
  <c r="AI219" i="1"/>
  <c r="J221" i="1"/>
  <c r="AC221" i="1"/>
  <c r="AH222" i="1"/>
  <c r="H224" i="1"/>
  <c r="N225" i="1"/>
  <c r="T226" i="1"/>
  <c r="Y227" i="1"/>
  <c r="AD228" i="1"/>
  <c r="AK229" i="1"/>
  <c r="K231" i="1"/>
  <c r="AC231" i="1"/>
  <c r="AH232" i="1"/>
  <c r="J234" i="1"/>
  <c r="O235" i="1"/>
  <c r="T236" i="1"/>
  <c r="Z237" i="1"/>
  <c r="AF238" i="1"/>
  <c r="AK239" i="1"/>
  <c r="K241" i="1"/>
  <c r="R242" i="1"/>
  <c r="W243" i="1"/>
  <c r="AB244" i="1"/>
  <c r="AH245" i="1"/>
  <c r="I247" i="1"/>
  <c r="N248" i="1"/>
  <c r="S249" i="1"/>
  <c r="Z250" i="1"/>
  <c r="AE251" i="1"/>
  <c r="AJ252" i="1"/>
  <c r="K254" i="1"/>
  <c r="Q255" i="1"/>
  <c r="V256" i="1"/>
  <c r="AA257" i="1"/>
  <c r="AH258" i="1"/>
  <c r="H260" i="1"/>
  <c r="H60" i="1"/>
  <c r="P145" i="1"/>
  <c r="Q171" i="1"/>
  <c r="AC14" i="1"/>
  <c r="Y16" i="1"/>
  <c r="O18" i="1"/>
  <c r="L20" i="1"/>
  <c r="AJ23" i="1"/>
  <c r="Z30" i="1"/>
  <c r="AD42" i="1"/>
  <c r="Z59" i="1"/>
  <c r="AE80" i="1"/>
  <c r="X99" i="1"/>
  <c r="T115" i="1"/>
  <c r="AI126" i="1"/>
  <c r="AL135" i="1"/>
  <c r="I142" i="1"/>
  <c r="L147" i="1"/>
  <c r="AK151" i="1"/>
  <c r="R156" i="1"/>
  <c r="AE158" i="1"/>
  <c r="O160" i="1"/>
  <c r="AH161" i="1"/>
  <c r="R163" i="1"/>
  <c r="AK164" i="1"/>
  <c r="M167" i="1"/>
  <c r="AF168" i="1"/>
  <c r="P170" i="1"/>
  <c r="AB172" i="1"/>
  <c r="M174" i="1"/>
  <c r="T176" i="1"/>
  <c r="AG177" i="1"/>
  <c r="M179" i="1"/>
  <c r="AC180" i="1"/>
  <c r="K182" i="1"/>
  <c r="Y183" i="1"/>
  <c r="H185" i="1"/>
  <c r="U186" i="1"/>
  <c r="AH187" i="1"/>
  <c r="P189" i="1"/>
  <c r="AF190" i="1"/>
  <c r="AJ192" i="1"/>
  <c r="R194" i="1"/>
  <c r="AF195" i="1"/>
  <c r="K197" i="1"/>
  <c r="U198" i="1"/>
  <c r="AD199" i="1"/>
  <c r="H201" i="1"/>
  <c r="O202" i="1"/>
  <c r="V203" i="1"/>
  <c r="AF204" i="1"/>
  <c r="H206" i="1"/>
  <c r="P207" i="1"/>
  <c r="X208" i="1"/>
  <c r="AG209" i="1"/>
  <c r="I211" i="1"/>
  <c r="Q212" i="1"/>
  <c r="Z213" i="1"/>
  <c r="AG214" i="1"/>
  <c r="J216" i="1"/>
  <c r="R217" i="1"/>
  <c r="AA218" i="1"/>
  <c r="AH219" i="1"/>
  <c r="H221" i="1"/>
  <c r="O222" i="1"/>
  <c r="T223" i="1"/>
  <c r="Y224" i="1"/>
  <c r="AE225" i="1"/>
  <c r="AK226" i="1"/>
  <c r="K228" i="1"/>
  <c r="P229" i="1"/>
  <c r="W230" i="1"/>
  <c r="AB231" i="1"/>
  <c r="AG232" i="1"/>
  <c r="H234" i="1"/>
  <c r="N235" i="1"/>
  <c r="S236" i="1"/>
  <c r="X237" i="1"/>
  <c r="L238" i="1"/>
  <c r="R239" i="1"/>
  <c r="W240" i="1"/>
  <c r="AB241" i="1"/>
  <c r="AI242" i="1"/>
  <c r="I244" i="1"/>
  <c r="N245" i="1"/>
  <c r="AF245" i="1"/>
  <c r="H247" i="1"/>
  <c r="M248" i="1"/>
  <c r="R249" i="1"/>
  <c r="X250" i="1"/>
  <c r="AD251" i="1"/>
  <c r="AI252" i="1"/>
  <c r="I254" i="1"/>
  <c r="P255" i="1"/>
  <c r="U256" i="1"/>
  <c r="Z257" i="1"/>
  <c r="AF258" i="1"/>
  <c r="AL259" i="1"/>
  <c r="AD14" i="1"/>
  <c r="AB39" i="1"/>
  <c r="O48" i="1"/>
  <c r="T53" i="1"/>
  <c r="AH56" i="1"/>
  <c r="AH59" i="1"/>
  <c r="V62" i="1"/>
  <c r="R65" i="1"/>
  <c r="R68" i="1"/>
  <c r="K71" i="1"/>
  <c r="AF73" i="1"/>
  <c r="Z76" i="1"/>
  <c r="V79" i="1"/>
  <c r="S82" i="1"/>
  <c r="M85" i="1"/>
  <c r="AG87" i="1"/>
  <c r="N90" i="1"/>
  <c r="H93" i="1"/>
  <c r="AF95" i="1"/>
  <c r="P98" i="1"/>
  <c r="AH100" i="1"/>
  <c r="P103" i="1"/>
  <c r="AG105" i="1"/>
  <c r="R108" i="1"/>
  <c r="AD110" i="1"/>
  <c r="M113" i="1"/>
  <c r="X115" i="1"/>
  <c r="AC117" i="1"/>
  <c r="AI119" i="1"/>
  <c r="AK121" i="1"/>
  <c r="AL123" i="1"/>
  <c r="AL125" i="1"/>
  <c r="H128" i="1"/>
  <c r="AL129" i="1"/>
  <c r="I132" i="1"/>
  <c r="I134" i="1"/>
  <c r="H136" i="1"/>
  <c r="K138" i="1"/>
  <c r="J140" i="1"/>
  <c r="J142" i="1"/>
  <c r="L144" i="1"/>
  <c r="M147" i="1"/>
  <c r="K149" i="1"/>
  <c r="H151" i="1"/>
  <c r="AF153" i="1"/>
  <c r="Z155" i="1"/>
  <c r="M157" i="1"/>
  <c r="AF158" i="1"/>
  <c r="P160" i="1"/>
  <c r="AI161" i="1"/>
  <c r="K164" i="1"/>
  <c r="AC165" i="1"/>
  <c r="N167" i="1"/>
  <c r="AG168" i="1"/>
  <c r="Q170" i="1"/>
  <c r="AJ171" i="1"/>
  <c r="U173" i="1"/>
  <c r="AL174" i="1"/>
  <c r="U176" i="1"/>
  <c r="AH177" i="1"/>
  <c r="Q179" i="1"/>
  <c r="V181" i="1"/>
  <c r="AJ182" i="1"/>
  <c r="Q184" i="1"/>
  <c r="AE185" i="1"/>
  <c r="N187" i="1"/>
  <c r="S189" i="1"/>
  <c r="AG190" i="1"/>
  <c r="O192" i="1"/>
  <c r="AA193" i="1"/>
  <c r="K195" i="1"/>
  <c r="W196" i="1"/>
  <c r="AF197" i="1"/>
  <c r="AF199" i="1"/>
  <c r="I201" i="1"/>
  <c r="P202" i="1"/>
  <c r="Y203" i="1"/>
  <c r="AG204" i="1"/>
  <c r="I206" i="1"/>
  <c r="Q207" i="1"/>
  <c r="Z208" i="1"/>
  <c r="AH209" i="1"/>
  <c r="AC211" i="1"/>
  <c r="H213" i="1"/>
  <c r="O214" i="1"/>
  <c r="W215" i="1"/>
  <c r="AE216" i="1"/>
  <c r="I218" i="1"/>
  <c r="P219" i="1"/>
  <c r="V220" i="1"/>
  <c r="P222" i="1"/>
  <c r="U223" i="1"/>
  <c r="Z224" i="1"/>
  <c r="AG225" i="1"/>
  <c r="AL226" i="1"/>
  <c r="L228" i="1"/>
  <c r="R229" i="1"/>
  <c r="X230" i="1"/>
  <c r="P232" i="1"/>
  <c r="V233" i="1"/>
  <c r="AB234" i="1"/>
  <c r="AG235" i="1"/>
  <c r="AL236" i="1"/>
  <c r="N238" i="1"/>
  <c r="S239" i="1"/>
  <c r="X240" i="1"/>
  <c r="AD241" i="1"/>
  <c r="AJ242" i="1"/>
  <c r="J244" i="1"/>
  <c r="O245" i="1"/>
  <c r="V246" i="1"/>
  <c r="AA247" i="1"/>
  <c r="AF248" i="1"/>
  <c r="AL249" i="1"/>
  <c r="M251" i="1"/>
  <c r="R252" i="1"/>
  <c r="W253" i="1"/>
  <c r="AD254" i="1"/>
  <c r="AI255" i="1"/>
  <c r="I257" i="1"/>
  <c r="O258" i="1"/>
  <c r="U259" i="1"/>
  <c r="Z260" i="1"/>
  <c r="S61" i="1"/>
  <c r="P151" i="1"/>
  <c r="I13" i="1"/>
  <c r="AI14" i="1"/>
  <c r="AC16" i="1"/>
  <c r="Q18" i="1"/>
  <c r="W20" i="1"/>
  <c r="T22" i="1"/>
  <c r="J24" i="1"/>
  <c r="AB25" i="1"/>
  <c r="Z27" i="1"/>
  <c r="M29" i="1"/>
  <c r="N31" i="1"/>
  <c r="AD32" i="1"/>
  <c r="W34" i="1"/>
  <c r="Q36" i="1"/>
  <c r="AE37" i="1"/>
  <c r="AC39" i="1"/>
  <c r="P41" i="1"/>
  <c r="N43" i="1"/>
  <c r="AH44" i="1"/>
  <c r="T46" i="1"/>
  <c r="T48" i="1"/>
  <c r="I50" i="1"/>
  <c r="AG51" i="1"/>
  <c r="U53" i="1"/>
  <c r="K55" i="1"/>
  <c r="AI56" i="1"/>
  <c r="V58" i="1"/>
  <c r="AJ59" i="1"/>
  <c r="P61" i="1"/>
  <c r="W62" i="1"/>
  <c r="I64" i="1"/>
  <c r="X65" i="1"/>
  <c r="H67" i="1"/>
  <c r="S68" i="1"/>
  <c r="Z69" i="1"/>
  <c r="L71" i="1"/>
  <c r="V72" i="1"/>
  <c r="AK73" i="1"/>
  <c r="S75" i="1"/>
  <c r="AK76" i="1"/>
  <c r="Q78" i="1"/>
  <c r="W79" i="1"/>
  <c r="I81" i="1"/>
  <c r="T82" i="1"/>
  <c r="AB83" i="1"/>
  <c r="P85" i="1"/>
  <c r="Z86" i="1"/>
  <c r="AI87" i="1"/>
  <c r="N89" i="1"/>
  <c r="Y90" i="1"/>
  <c r="AF91" i="1"/>
  <c r="I93" i="1"/>
  <c r="Y94" i="1"/>
  <c r="AG95" i="1"/>
  <c r="M97" i="1"/>
  <c r="T98" i="1"/>
  <c r="Z99" i="1"/>
  <c r="H101" i="1"/>
  <c r="M102" i="1"/>
  <c r="AA103" i="1"/>
  <c r="AC104" i="1"/>
  <c r="AJ105" i="1"/>
  <c r="N107" i="1"/>
  <c r="S108" i="1"/>
  <c r="AC109" i="1"/>
  <c r="AE110" i="1"/>
  <c r="J112" i="1"/>
  <c r="O113" i="1"/>
  <c r="P114" i="1"/>
  <c r="Y115" i="1"/>
  <c r="AA116" i="1"/>
  <c r="AD117" i="1"/>
  <c r="AI118" i="1"/>
  <c r="AL119" i="1"/>
  <c r="L121" i="1"/>
  <c r="I122" i="1"/>
  <c r="H123" i="1"/>
  <c r="I124" i="1"/>
  <c r="J125" i="1"/>
  <c r="H126" i="1"/>
  <c r="K127" i="1"/>
  <c r="K128" i="1"/>
  <c r="I129" i="1"/>
  <c r="H130" i="1"/>
  <c r="L131" i="1"/>
  <c r="J132" i="1"/>
  <c r="K133" i="1"/>
  <c r="M134" i="1"/>
  <c r="L135" i="1"/>
  <c r="I136" i="1"/>
  <c r="N137" i="1"/>
  <c r="M138" i="1"/>
  <c r="L139" i="1"/>
  <c r="O140" i="1"/>
  <c r="M141" i="1"/>
  <c r="K142" i="1"/>
  <c r="N143" i="1"/>
  <c r="M144" i="1"/>
  <c r="N145" i="1"/>
  <c r="J146" i="1"/>
  <c r="N147" i="1"/>
  <c r="M148" i="1"/>
  <c r="M149" i="1"/>
  <c r="N150" i="1"/>
  <c r="J151" i="1"/>
  <c r="H152" i="1"/>
  <c r="AJ152" i="1"/>
  <c r="AL153" i="1"/>
  <c r="AF154" i="1"/>
  <c r="AA155" i="1"/>
  <c r="T156" i="1"/>
  <c r="N157" i="1"/>
  <c r="H158" i="1"/>
  <c r="AG158" i="1"/>
  <c r="X159" i="1"/>
  <c r="Q160" i="1"/>
  <c r="L161" i="1"/>
  <c r="AJ161" i="1"/>
  <c r="AA162" i="1"/>
  <c r="U163" i="1"/>
  <c r="N164" i="1"/>
  <c r="H165" i="1"/>
  <c r="AE165" i="1"/>
  <c r="X166" i="1"/>
  <c r="O167" i="1"/>
  <c r="L168" i="1"/>
  <c r="AH168" i="1"/>
  <c r="AA169" i="1"/>
  <c r="R170" i="1"/>
  <c r="O171" i="1"/>
  <c r="AK171" i="1"/>
  <c r="AD172" i="1"/>
  <c r="V173" i="1"/>
  <c r="Q174" i="1"/>
  <c r="H175" i="1"/>
  <c r="AE175" i="1"/>
  <c r="V176" i="1"/>
  <c r="L177" i="1"/>
  <c r="AI177" i="1"/>
  <c r="Y178" i="1"/>
  <c r="S179" i="1"/>
  <c r="J180" i="1"/>
  <c r="AE180" i="1"/>
  <c r="W181" i="1"/>
  <c r="M182" i="1"/>
  <c r="AK182" i="1"/>
  <c r="AA183" i="1"/>
  <c r="R184" i="1"/>
  <c r="K185" i="1"/>
  <c r="AG185" i="1"/>
  <c r="Y186" i="1"/>
  <c r="O187" i="1"/>
  <c r="AJ187" i="1"/>
  <c r="AB188" i="1"/>
  <c r="T189" i="1"/>
  <c r="M190" i="1"/>
  <c r="AH190" i="1"/>
  <c r="X191" i="1"/>
  <c r="P192" i="1"/>
  <c r="AL192" i="1"/>
  <c r="AB193" i="1"/>
  <c r="U194" i="1"/>
  <c r="L195" i="1"/>
  <c r="AI195" i="1"/>
  <c r="X196" i="1"/>
  <c r="M197" i="1"/>
  <c r="AH197" i="1"/>
  <c r="W198" i="1"/>
  <c r="M199" i="1"/>
  <c r="AG199" i="1"/>
  <c r="V200" i="1"/>
  <c r="J201" i="1"/>
  <c r="AC201" i="1"/>
  <c r="Q202" i="1"/>
  <c r="AJ202" i="1"/>
  <c r="Z203" i="1"/>
  <c r="O204" i="1"/>
  <c r="AH204" i="1"/>
  <c r="V205" i="1"/>
  <c r="K206" i="1"/>
  <c r="AD206" i="1"/>
  <c r="R207" i="1"/>
  <c r="AL207" i="1"/>
  <c r="AA208" i="1"/>
  <c r="P209" i="1"/>
  <c r="AI209" i="1"/>
  <c r="W210" i="1"/>
  <c r="K211" i="1"/>
  <c r="AD211" i="1"/>
  <c r="T212" i="1"/>
  <c r="I213" i="1"/>
  <c r="AB213" i="1"/>
  <c r="P214" i="1"/>
  <c r="AJ214" i="1"/>
  <c r="X215" i="1"/>
  <c r="L216" i="1"/>
  <c r="AF216" i="1"/>
  <c r="V217" i="1"/>
  <c r="J218" i="1"/>
  <c r="AC218" i="1"/>
  <c r="Q219" i="1"/>
  <c r="AJ219" i="1"/>
  <c r="W220" i="1"/>
  <c r="K221" i="1"/>
  <c r="AD221" i="1"/>
  <c r="Q222" i="1"/>
  <c r="AI222" i="1"/>
  <c r="V223" i="1"/>
  <c r="I224" i="1"/>
  <c r="AA224" i="1"/>
  <c r="O225" i="1"/>
  <c r="AH225" i="1"/>
  <c r="U226" i="1"/>
  <c r="H227" i="1"/>
  <c r="Z227" i="1"/>
  <c r="M228" i="1"/>
  <c r="AE228" i="1"/>
  <c r="S229" i="1"/>
  <c r="AL229" i="1"/>
  <c r="Y230" i="1"/>
  <c r="L231" i="1"/>
  <c r="AD231" i="1"/>
  <c r="Q232" i="1"/>
  <c r="AI232" i="1"/>
  <c r="W233" i="1"/>
  <c r="K234" i="1"/>
  <c r="AC234" i="1"/>
  <c r="P235" i="1"/>
  <c r="AH235" i="1"/>
  <c r="U236" i="1"/>
  <c r="H237" i="1"/>
  <c r="AA237" i="1"/>
  <c r="O238" i="1"/>
  <c r="AG238" i="1"/>
  <c r="T239" i="1"/>
  <c r="AL239" i="1"/>
  <c r="Y240" i="1"/>
  <c r="L241" i="1"/>
  <c r="AE241" i="1"/>
  <c r="S242" i="1"/>
  <c r="AK242" i="1"/>
  <c r="X243" i="1"/>
  <c r="K244" i="1"/>
  <c r="AC244" i="1"/>
  <c r="P245" i="1"/>
  <c r="AI245" i="1"/>
  <c r="W246" i="1"/>
  <c r="J247" i="1"/>
  <c r="AB247" i="1"/>
  <c r="O248" i="1"/>
  <c r="AG248" i="1"/>
  <c r="T249" i="1"/>
  <c r="H250" i="1"/>
  <c r="AA250" i="1"/>
  <c r="N251" i="1"/>
  <c r="AF251" i="1"/>
  <c r="S252" i="1"/>
  <c r="AK252" i="1"/>
  <c r="X253" i="1"/>
  <c r="L254" i="1"/>
  <c r="AE254" i="1"/>
  <c r="R255" i="1"/>
  <c r="AJ255" i="1"/>
  <c r="W256" i="1"/>
  <c r="J257" i="1"/>
  <c r="AB257" i="1"/>
  <c r="P258" i="1"/>
  <c r="AI258" i="1"/>
  <c r="V259" i="1"/>
  <c r="I260" i="1"/>
  <c r="AA260" i="1"/>
  <c r="J13" i="1"/>
  <c r="I15" i="1"/>
  <c r="AE16" i="1"/>
  <c r="AD18" i="1"/>
  <c r="X20" i="1"/>
  <c r="U22" i="1"/>
  <c r="M24" i="1"/>
  <c r="AL25" i="1"/>
  <c r="AA27" i="1"/>
  <c r="N29" i="1"/>
  <c r="O31" i="1"/>
  <c r="AI32" i="1"/>
  <c r="AA34" i="1"/>
  <c r="R36" i="1"/>
  <c r="AK37" i="1"/>
  <c r="AF39" i="1"/>
  <c r="R41" i="1"/>
  <c r="O43" i="1"/>
  <c r="AI44" i="1"/>
  <c r="U46" i="1"/>
  <c r="U48" i="1"/>
  <c r="K50" i="1"/>
  <c r="AJ51" i="1"/>
  <c r="V53" i="1"/>
  <c r="T55" i="1"/>
  <c r="AJ56" i="1"/>
  <c r="W58" i="1"/>
  <c r="AK59" i="1"/>
  <c r="R61" i="1"/>
  <c r="X62" i="1"/>
  <c r="J64" i="1"/>
  <c r="Z65" i="1"/>
  <c r="J67" i="1"/>
  <c r="U68" i="1"/>
  <c r="AI69" i="1"/>
  <c r="N71" i="1"/>
  <c r="W72" i="1"/>
  <c r="AL73" i="1"/>
  <c r="T75" i="1"/>
  <c r="H77" i="1"/>
  <c r="R78" i="1"/>
  <c r="AA79" i="1"/>
  <c r="K81" i="1"/>
  <c r="U82" i="1"/>
  <c r="AK83" i="1"/>
  <c r="Q85" i="1"/>
  <c r="AA86" i="1"/>
  <c r="AJ87" i="1"/>
  <c r="P89" i="1"/>
  <c r="AB90" i="1"/>
  <c r="AG91" i="1"/>
  <c r="K93" i="1"/>
  <c r="AA94" i="1"/>
  <c r="AI95" i="1"/>
  <c r="O97" i="1"/>
  <c r="U98" i="1"/>
  <c r="AF99" i="1"/>
  <c r="L101" i="1"/>
  <c r="N102" i="1"/>
  <c r="AD103" i="1"/>
  <c r="AD104" i="1"/>
  <c r="I106" i="1"/>
  <c r="P107" i="1"/>
  <c r="T108" i="1"/>
  <c r="AF109" i="1"/>
  <c r="AH110" i="1"/>
  <c r="L112" i="1"/>
  <c r="P113" i="1"/>
  <c r="Q114" i="1"/>
  <c r="Z115" i="1"/>
  <c r="AB116" i="1"/>
  <c r="AH117" i="1"/>
  <c r="AK118" i="1"/>
  <c r="H120" i="1"/>
  <c r="M121" i="1"/>
  <c r="J122" i="1"/>
  <c r="I123" i="1"/>
  <c r="J124" i="1"/>
  <c r="K125" i="1"/>
  <c r="J126" i="1"/>
  <c r="M127" i="1"/>
  <c r="L128" i="1"/>
  <c r="J129" i="1"/>
  <c r="K130" i="1"/>
  <c r="M131" i="1"/>
  <c r="K132" i="1"/>
  <c r="O133" i="1"/>
  <c r="N134" i="1"/>
  <c r="M135" i="1"/>
  <c r="L136" i="1"/>
  <c r="O137" i="1"/>
  <c r="N138" i="1"/>
  <c r="N139" i="1"/>
  <c r="P140" i="1"/>
  <c r="N141" i="1"/>
  <c r="L142" i="1"/>
  <c r="P143" i="1"/>
  <c r="N144" i="1"/>
  <c r="O145" i="1"/>
  <c r="P146" i="1"/>
  <c r="O147" i="1"/>
  <c r="O148" i="1"/>
  <c r="N149" i="1"/>
  <c r="O150" i="1"/>
  <c r="L151" i="1"/>
  <c r="I152" i="1"/>
  <c r="AK152" i="1"/>
  <c r="I154" i="1"/>
  <c r="AG154" i="1"/>
  <c r="AC155" i="1"/>
  <c r="U156" i="1"/>
  <c r="Q157" i="1"/>
  <c r="L158" i="1"/>
  <c r="AH158" i="1"/>
  <c r="Y159" i="1"/>
  <c r="R160" i="1"/>
  <c r="O161" i="1"/>
  <c r="AK161" i="1"/>
  <c r="AB162" i="1"/>
  <c r="V163" i="1"/>
  <c r="R164" i="1"/>
  <c r="I165" i="1"/>
  <c r="AF165" i="1"/>
  <c r="Y166" i="1"/>
  <c r="R167" i="1"/>
  <c r="M168" i="1"/>
  <c r="AI168" i="1"/>
  <c r="AB169" i="1"/>
  <c r="S170" i="1"/>
  <c r="P171" i="1"/>
  <c r="AL171" i="1"/>
  <c r="AE172" i="1"/>
  <c r="W173" i="1"/>
  <c r="S174" i="1"/>
  <c r="I175" i="1"/>
  <c r="AG175" i="1"/>
  <c r="W176" i="1"/>
  <c r="O177" i="1"/>
  <c r="AJ177" i="1"/>
  <c r="AA178" i="1"/>
  <c r="U179" i="1"/>
  <c r="K180" i="1"/>
  <c r="AH180" i="1"/>
  <c r="X181" i="1"/>
  <c r="N182" i="1"/>
  <c r="AL182" i="1"/>
  <c r="AC183" i="1"/>
  <c r="V184" i="1"/>
  <c r="L185" i="1"/>
  <c r="AH185" i="1"/>
  <c r="Z186" i="1"/>
  <c r="P187" i="1"/>
  <c r="AK187" i="1"/>
  <c r="AD188" i="1"/>
  <c r="V189" i="1"/>
  <c r="N190" i="1"/>
  <c r="AI190" i="1"/>
  <c r="Y191" i="1"/>
  <c r="R192" i="1"/>
  <c r="H193" i="1"/>
  <c r="AF193" i="1"/>
  <c r="W194" i="1"/>
  <c r="M195" i="1"/>
  <c r="AJ195" i="1"/>
  <c r="Y196" i="1"/>
  <c r="N197" i="1"/>
  <c r="AI197" i="1"/>
  <c r="Z198" i="1"/>
  <c r="O199" i="1"/>
  <c r="AH199" i="1"/>
  <c r="W200" i="1"/>
  <c r="K201" i="1"/>
  <c r="AD201" i="1"/>
  <c r="R202" i="1"/>
  <c r="H203" i="1"/>
  <c r="AB203" i="1"/>
  <c r="P204" i="1"/>
  <c r="AI204" i="1"/>
  <c r="W205" i="1"/>
  <c r="L206" i="1"/>
  <c r="AE206" i="1"/>
  <c r="T207" i="1"/>
  <c r="I208" i="1"/>
  <c r="AC208" i="1"/>
  <c r="Q209" i="1"/>
  <c r="AJ209" i="1"/>
  <c r="X210" i="1"/>
  <c r="L211" i="1"/>
  <c r="AG211" i="1"/>
  <c r="V212" i="1"/>
  <c r="J213" i="1"/>
  <c r="AC213" i="1"/>
  <c r="Q214" i="1"/>
  <c r="AK214" i="1"/>
  <c r="Y215" i="1"/>
  <c r="N216" i="1"/>
  <c r="AH216" i="1"/>
  <c r="W217" i="1"/>
  <c r="K218" i="1"/>
  <c r="AD218" i="1"/>
  <c r="R219" i="1"/>
  <c r="AK219" i="1"/>
  <c r="Y220" i="1"/>
  <c r="M221" i="1"/>
  <c r="AE221" i="1"/>
  <c r="R222" i="1"/>
  <c r="AJ222" i="1"/>
  <c r="W223" i="1"/>
  <c r="J224" i="1"/>
  <c r="AC224" i="1"/>
  <c r="Q225" i="1"/>
  <c r="AI225" i="1"/>
  <c r="V226" i="1"/>
  <c r="I227" i="1"/>
  <c r="AA227" i="1"/>
  <c r="N228" i="1"/>
  <c r="AG228" i="1"/>
  <c r="U229" i="1"/>
  <c r="H230" i="1"/>
  <c r="Z230" i="1"/>
  <c r="M231" i="1"/>
  <c r="AE231" i="1"/>
  <c r="R232" i="1"/>
  <c r="AK232" i="1"/>
  <c r="Y233" i="1"/>
  <c r="L234" i="1"/>
  <c r="AD234" i="1"/>
  <c r="Q235" i="1"/>
  <c r="AI235" i="1"/>
  <c r="V236" i="1"/>
  <c r="J237" i="1"/>
  <c r="AC237" i="1"/>
  <c r="P238" i="1"/>
  <c r="AH238" i="1"/>
  <c r="U239" i="1"/>
  <c r="H240" i="1"/>
  <c r="Z240" i="1"/>
  <c r="N241" i="1"/>
  <c r="AG241" i="1"/>
  <c r="T242" i="1"/>
  <c r="AL242" i="1"/>
  <c r="Y243" i="1"/>
  <c r="L244" i="1"/>
  <c r="AD244" i="1"/>
  <c r="R245" i="1"/>
  <c r="AK245" i="1"/>
  <c r="X246" i="1"/>
  <c r="K247" i="1"/>
  <c r="AC247" i="1"/>
  <c r="P248" i="1"/>
  <c r="AH248" i="1"/>
  <c r="V249" i="1"/>
  <c r="J250" i="1"/>
  <c r="AB250" i="1"/>
  <c r="O251" i="1"/>
  <c r="AG251" i="1"/>
  <c r="T252" i="1"/>
  <c r="AL252" i="1"/>
  <c r="Z253" i="1"/>
  <c r="N254" i="1"/>
  <c r="AF254" i="1"/>
  <c r="S255" i="1"/>
  <c r="AK255" i="1"/>
  <c r="X256" i="1"/>
  <c r="K257" i="1"/>
  <c r="AD257" i="1"/>
  <c r="R258" i="1"/>
  <c r="AJ258" i="1"/>
  <c r="W259" i="1"/>
  <c r="J260" i="1"/>
  <c r="AB260" i="1"/>
  <c r="N13" i="1"/>
  <c r="K15" i="1"/>
  <c r="AF16" i="1"/>
  <c r="AH18" i="1"/>
  <c r="Y20" i="1"/>
  <c r="Y22" i="1"/>
  <c r="O24" i="1"/>
  <c r="I26" i="1"/>
  <c r="AB27" i="1"/>
  <c r="AE29" i="1"/>
  <c r="R31" i="1"/>
  <c r="I33" i="1"/>
  <c r="AB34" i="1"/>
  <c r="S36" i="1"/>
  <c r="AL37" i="1"/>
  <c r="AG39" i="1"/>
  <c r="AB41" i="1"/>
  <c r="W43" i="1"/>
  <c r="AJ44" i="1"/>
  <c r="AI46" i="1"/>
  <c r="V48" i="1"/>
  <c r="L50" i="1"/>
  <c r="AK51" i="1"/>
  <c r="AC53" i="1"/>
  <c r="AA55" i="1"/>
  <c r="AK56" i="1"/>
  <c r="X58" i="1"/>
  <c r="AK62" i="1"/>
  <c r="Q64" i="1"/>
  <c r="AA65" i="1"/>
  <c r="K67" i="1"/>
  <c r="V68" i="1"/>
  <c r="H70" i="1"/>
  <c r="O71" i="1"/>
  <c r="Y72" i="1"/>
  <c r="P74" i="1"/>
  <c r="U75" i="1"/>
  <c r="I77" i="1"/>
  <c r="S78" i="1"/>
  <c r="AB79" i="1"/>
  <c r="M81" i="1"/>
  <c r="V82" i="1"/>
  <c r="J84" i="1"/>
  <c r="R85" i="1"/>
  <c r="AD86" i="1"/>
  <c r="K88" i="1"/>
  <c r="Q89" i="1"/>
  <c r="AC90" i="1"/>
  <c r="AI91" i="1"/>
  <c r="U93" i="1"/>
  <c r="AB94" i="1"/>
  <c r="AJ95" i="1"/>
  <c r="P97" i="1"/>
  <c r="V98" i="1"/>
  <c r="AJ99" i="1"/>
  <c r="N101" i="1"/>
  <c r="T102" i="1"/>
  <c r="AE103" i="1"/>
  <c r="AJ104" i="1"/>
  <c r="N106" i="1"/>
  <c r="S107" i="1"/>
  <c r="U108" i="1"/>
  <c r="AG109" i="1"/>
  <c r="AL110" i="1"/>
  <c r="M112" i="1"/>
  <c r="Q113" i="1"/>
  <c r="R114" i="1"/>
  <c r="AA115" i="1"/>
  <c r="AD116" i="1"/>
  <c r="AJ117" i="1"/>
  <c r="J119" i="1"/>
  <c r="M120" i="1"/>
  <c r="N121" i="1"/>
  <c r="K122" i="1"/>
  <c r="L123" i="1"/>
  <c r="P124" i="1"/>
  <c r="L125" i="1"/>
  <c r="K126" i="1"/>
  <c r="N127" i="1"/>
  <c r="M128" i="1"/>
  <c r="K129" i="1"/>
  <c r="N130" i="1"/>
  <c r="N131" i="1"/>
  <c r="M132" i="1"/>
  <c r="Q133" i="1"/>
  <c r="Q134" i="1"/>
  <c r="P135" i="1"/>
  <c r="P136" i="1"/>
  <c r="P137" i="1"/>
  <c r="O138" i="1"/>
  <c r="O139" i="1"/>
  <c r="R140" i="1"/>
  <c r="R141" i="1"/>
  <c r="M142" i="1"/>
  <c r="R143" i="1"/>
  <c r="O144" i="1"/>
  <c r="S146" i="1"/>
  <c r="S147" i="1"/>
  <c r="P148" i="1"/>
  <c r="R149" i="1"/>
  <c r="P150" i="1"/>
  <c r="K152" i="1"/>
  <c r="AL152" i="1"/>
  <c r="J154" i="1"/>
  <c r="AH154" i="1"/>
  <c r="AD155" i="1"/>
  <c r="V156" i="1"/>
  <c r="S157" i="1"/>
  <c r="M158" i="1"/>
  <c r="AI158" i="1"/>
  <c r="Z159" i="1"/>
  <c r="V160" i="1"/>
  <c r="P161" i="1"/>
  <c r="AL161" i="1"/>
  <c r="AC162" i="1"/>
  <c r="W163" i="1"/>
  <c r="S164" i="1"/>
  <c r="J165" i="1"/>
  <c r="AI165" i="1"/>
  <c r="Z166" i="1"/>
  <c r="V167" i="1"/>
  <c r="N168" i="1"/>
  <c r="AL168" i="1"/>
  <c r="AC169" i="1"/>
  <c r="Y170" i="1"/>
  <c r="J172" i="1"/>
  <c r="AF172" i="1"/>
  <c r="X173" i="1"/>
  <c r="T174" i="1"/>
  <c r="J175" i="1"/>
  <c r="AH175" i="1"/>
  <c r="X176" i="1"/>
  <c r="P177" i="1"/>
  <c r="AB178" i="1"/>
  <c r="V179" i="1"/>
  <c r="AI180" i="1"/>
  <c r="O13" i="1"/>
  <c r="AK15" i="1"/>
  <c r="O19" i="1"/>
  <c r="AB21" i="1"/>
  <c r="AH24" i="1"/>
  <c r="AG27" i="1"/>
  <c r="S30" i="1"/>
  <c r="P33" i="1"/>
  <c r="AA35" i="1"/>
  <c r="AF38" i="1"/>
  <c r="AC41" i="1"/>
  <c r="AI43" i="1"/>
  <c r="K47" i="1"/>
  <c r="Y49" i="1"/>
  <c r="X52" i="1"/>
  <c r="AB55" i="1"/>
  <c r="AC57" i="1"/>
  <c r="P60" i="1"/>
  <c r="R62" i="1"/>
  <c r="AB64" i="1"/>
  <c r="M67" i="1"/>
  <c r="K69" i="1"/>
  <c r="T71" i="1"/>
  <c r="V73" i="1"/>
  <c r="I76" i="1"/>
  <c r="T78" i="1"/>
  <c r="W80" i="1"/>
  <c r="I83" i="1"/>
  <c r="AB84" i="1"/>
  <c r="L87" i="1"/>
  <c r="R89" i="1"/>
  <c r="O91" i="1"/>
  <c r="X93" i="1"/>
  <c r="S95" i="1"/>
  <c r="Y97" i="1"/>
  <c r="AL99" i="1"/>
  <c r="AG101" i="1"/>
  <c r="AH103" i="1"/>
  <c r="Y105" i="1"/>
  <c r="AB107" i="1"/>
  <c r="AJ109" i="1"/>
  <c r="W111" i="1"/>
  <c r="X113" i="1"/>
  <c r="J115" i="1"/>
  <c r="O117" i="1"/>
  <c r="L119" i="1"/>
  <c r="Y120" i="1"/>
  <c r="R122" i="1"/>
  <c r="AF123" i="1"/>
  <c r="T125" i="1"/>
  <c r="O127" i="1"/>
  <c r="AD128" i="1"/>
  <c r="W130" i="1"/>
  <c r="AG131" i="1"/>
  <c r="V133" i="1"/>
  <c r="Q135" i="1"/>
  <c r="AB136" i="1"/>
  <c r="T138" i="1"/>
  <c r="AH139" i="1"/>
  <c r="W141" i="1"/>
  <c r="S143" i="1"/>
  <c r="AF144" i="1"/>
  <c r="Y146" i="1"/>
  <c r="AL147" i="1"/>
  <c r="AA149" i="1"/>
  <c r="Q151" i="1"/>
  <c r="AA152" i="1"/>
  <c r="N154" i="1"/>
  <c r="S155" i="1"/>
  <c r="AG156" i="1"/>
  <c r="N158" i="1"/>
  <c r="Q159" i="1"/>
  <c r="Z160" i="1"/>
  <c r="Y161" i="1"/>
  <c r="I163" i="1"/>
  <c r="T164" i="1"/>
  <c r="T165" i="1"/>
  <c r="AF166" i="1"/>
  <c r="AF167" i="1"/>
  <c r="L169" i="1"/>
  <c r="AA170" i="1"/>
  <c r="Z171" i="1"/>
  <c r="AJ172" i="1"/>
  <c r="H174" i="1"/>
  <c r="R175" i="1"/>
  <c r="Y176" i="1"/>
  <c r="Z177" i="1"/>
  <c r="AH178" i="1"/>
  <c r="AD179" i="1"/>
  <c r="AL180" i="1"/>
  <c r="AL181" i="1"/>
  <c r="K183" i="1"/>
  <c r="J184" i="1"/>
  <c r="O185" i="1"/>
  <c r="L186" i="1"/>
  <c r="Q187" i="1"/>
  <c r="Q188" i="1"/>
  <c r="N189" i="1"/>
  <c r="S190" i="1"/>
  <c r="S191" i="1"/>
  <c r="W192" i="1"/>
  <c r="U193" i="1"/>
  <c r="Z194" i="1"/>
  <c r="X195" i="1"/>
  <c r="AA196" i="1"/>
  <c r="Y197" i="1"/>
  <c r="AA198" i="1"/>
  <c r="V199" i="1"/>
  <c r="P200" i="1"/>
  <c r="P201" i="1"/>
  <c r="L202" i="1"/>
  <c r="M203" i="1"/>
  <c r="AK203" i="1"/>
  <c r="AL204" i="1"/>
  <c r="AH205" i="1"/>
  <c r="AH206" i="1"/>
  <c r="AC207" i="1"/>
  <c r="AD208" i="1"/>
  <c r="W209" i="1"/>
  <c r="S210" i="1"/>
  <c r="T211" i="1"/>
  <c r="M212" i="1"/>
  <c r="N213" i="1"/>
  <c r="I214" i="1"/>
  <c r="I215" i="1"/>
  <c r="AJ215" i="1"/>
  <c r="AK216" i="1"/>
  <c r="AD217" i="1"/>
  <c r="AE218" i="1"/>
  <c r="AA219" i="1"/>
  <c r="S220" i="1"/>
  <c r="R221" i="1"/>
  <c r="K222" i="1"/>
  <c r="I223" i="1"/>
  <c r="AH223" i="1"/>
  <c r="AG224" i="1"/>
  <c r="Y225" i="1"/>
  <c r="X226" i="1"/>
  <c r="Q227" i="1"/>
  <c r="O228" i="1"/>
  <c r="I229" i="1"/>
  <c r="AF229" i="1"/>
  <c r="AE230" i="1"/>
  <c r="Y231" i="1"/>
  <c r="X232" i="1"/>
  <c r="P233" i="1"/>
  <c r="O234" i="1"/>
  <c r="H235" i="1"/>
  <c r="AK235" i="1"/>
  <c r="AE236" i="1"/>
  <c r="AD237" i="1"/>
  <c r="V238" i="1"/>
  <c r="P239" i="1"/>
  <c r="N240" i="1"/>
  <c r="AL240" i="1"/>
  <c r="AK241" i="1"/>
  <c r="AC242" i="1"/>
  <c r="AB243" i="1"/>
  <c r="V244" i="1"/>
  <c r="U245" i="1"/>
  <c r="M246" i="1"/>
  <c r="L247" i="1"/>
  <c r="AJ247" i="1"/>
  <c r="AC248" i="1"/>
  <c r="AB249" i="1"/>
  <c r="T250" i="1"/>
  <c r="S251" i="1"/>
  <c r="M252" i="1"/>
  <c r="K253" i="1"/>
  <c r="AI253" i="1"/>
  <c r="AH254" i="1"/>
  <c r="Z255" i="1"/>
  <c r="Y256" i="1"/>
  <c r="S257" i="1"/>
  <c r="K258" i="1"/>
  <c r="J259" i="1"/>
  <c r="AI259" i="1"/>
  <c r="AG260" i="1"/>
  <c r="AH260" i="1"/>
  <c r="T13" i="1"/>
  <c r="L16" i="1"/>
  <c r="P19" i="1"/>
  <c r="AC21" i="1"/>
  <c r="AL24" i="1"/>
  <c r="J28" i="1"/>
  <c r="T30" i="1"/>
  <c r="R33" i="1"/>
  <c r="AJ35" i="1"/>
  <c r="AH38" i="1"/>
  <c r="AK41" i="1"/>
  <c r="H44" i="1"/>
  <c r="L47" i="1"/>
  <c r="Z49" i="1"/>
  <c r="Y52" i="1"/>
  <c r="AE55" i="1"/>
  <c r="AE57" i="1"/>
  <c r="Q60" i="1"/>
  <c r="S62" i="1"/>
  <c r="AH64" i="1"/>
  <c r="O67" i="1"/>
  <c r="P69" i="1"/>
  <c r="AD71" i="1"/>
  <c r="Z73" i="1"/>
  <c r="J76" i="1"/>
  <c r="V78" i="1"/>
  <c r="Y80" i="1"/>
  <c r="J83" i="1"/>
  <c r="AF84" i="1"/>
  <c r="M87" i="1"/>
  <c r="S89" i="1"/>
  <c r="P91" i="1"/>
  <c r="AD93" i="1"/>
  <c r="U95" i="1"/>
  <c r="Z97" i="1"/>
  <c r="H100" i="1"/>
  <c r="AI101" i="1"/>
  <c r="AI103" i="1"/>
  <c r="AC105" i="1"/>
  <c r="AI107" i="1"/>
  <c r="H110" i="1"/>
  <c r="X111" i="1"/>
  <c r="Y113" i="1"/>
  <c r="L115" i="1"/>
  <c r="P117" i="1"/>
  <c r="M119" i="1"/>
  <c r="AA120" i="1"/>
  <c r="S122" i="1"/>
  <c r="AG123" i="1"/>
  <c r="Y125" i="1"/>
  <c r="R127" i="1"/>
  <c r="AE128" i="1"/>
  <c r="X130" i="1"/>
  <c r="AH131" i="1"/>
  <c r="AB133" i="1"/>
  <c r="R135" i="1"/>
  <c r="AC136" i="1"/>
  <c r="U138" i="1"/>
  <c r="AJ139" i="1"/>
  <c r="AF141" i="1"/>
  <c r="T143" i="1"/>
  <c r="AG144" i="1"/>
  <c r="Z146" i="1"/>
  <c r="H148" i="1"/>
  <c r="AB149" i="1"/>
  <c r="R151" i="1"/>
  <c r="AB152" i="1"/>
  <c r="O154" i="1"/>
  <c r="T155" i="1"/>
  <c r="AH156" i="1"/>
  <c r="O158" i="1"/>
  <c r="R159" i="1"/>
  <c r="AA160" i="1"/>
  <c r="AE161" i="1"/>
  <c r="J163" i="1"/>
  <c r="U164" i="1"/>
  <c r="W165" i="1"/>
  <c r="AG166" i="1"/>
  <c r="AG167" i="1"/>
  <c r="O169" i="1"/>
  <c r="AB170" i="1"/>
  <c r="AA171" i="1"/>
  <c r="H173" i="1"/>
  <c r="I174" i="1"/>
  <c r="S175" i="1"/>
  <c r="Z176" i="1"/>
  <c r="AA177" i="1"/>
  <c r="AI178" i="1"/>
  <c r="AG179" i="1"/>
  <c r="H181" i="1"/>
  <c r="H182" i="1"/>
  <c r="M183" i="1"/>
  <c r="K184" i="1"/>
  <c r="P185" i="1"/>
  <c r="N186" i="1"/>
  <c r="R187" i="1"/>
  <c r="R188" i="1"/>
  <c r="W189" i="1"/>
  <c r="T190" i="1"/>
  <c r="T191" i="1"/>
  <c r="X192" i="1"/>
  <c r="W193" i="1"/>
  <c r="AB194" i="1"/>
  <c r="Y195" i="1"/>
  <c r="AB196" i="1"/>
  <c r="Z197" i="1"/>
  <c r="AC198" i="1"/>
  <c r="W199" i="1"/>
  <c r="X200" i="1"/>
  <c r="R201" i="1"/>
  <c r="M202" i="1"/>
  <c r="N203" i="1"/>
  <c r="AL203" i="1"/>
  <c r="H205" i="1"/>
  <c r="AI205" i="1"/>
  <c r="AI206" i="1"/>
  <c r="AD207" i="1"/>
  <c r="AE208" i="1"/>
  <c r="X209" i="1"/>
  <c r="Y210" i="1"/>
  <c r="U211" i="1"/>
  <c r="N212" i="1"/>
  <c r="O213" i="1"/>
  <c r="K214" i="1"/>
  <c r="K215" i="1"/>
  <c r="AK215" i="1"/>
  <c r="AL216" i="1"/>
  <c r="AE217" i="1"/>
  <c r="AF218" i="1"/>
  <c r="AB219" i="1"/>
  <c r="Z220" i="1"/>
  <c r="S221" i="1"/>
  <c r="L222" i="1"/>
  <c r="J223" i="1"/>
  <c r="AI223" i="1"/>
  <c r="AH224" i="1"/>
  <c r="Z225" i="1"/>
  <c r="Y226" i="1"/>
  <c r="S227" i="1"/>
  <c r="Q228" i="1"/>
  <c r="J229" i="1"/>
  <c r="I230" i="1"/>
  <c r="AF230" i="1"/>
  <c r="Z231" i="1"/>
  <c r="Y232" i="1"/>
  <c r="Q233" i="1"/>
  <c r="P234" i="1"/>
  <c r="I235" i="1"/>
  <c r="AL235" i="1"/>
  <c r="AF236" i="1"/>
  <c r="AE237" i="1"/>
  <c r="W238" i="1"/>
  <c r="V239" i="1"/>
  <c r="P240" i="1"/>
  <c r="H241" i="1"/>
  <c r="AL241" i="1"/>
  <c r="AE242" i="1"/>
  <c r="AC243" i="1"/>
  <c r="W244" i="1"/>
  <c r="V245" i="1"/>
  <c r="N246" i="1"/>
  <c r="M247" i="1"/>
  <c r="AK247" i="1"/>
  <c r="AI248" i="1"/>
  <c r="AC249" i="1"/>
  <c r="U250" i="1"/>
  <c r="T251" i="1"/>
  <c r="N252" i="1"/>
  <c r="M253" i="1"/>
  <c r="AJ253" i="1"/>
  <c r="AI254" i="1"/>
  <c r="AB255" i="1"/>
  <c r="Z256" i="1"/>
  <c r="T257" i="1"/>
  <c r="S258" i="1"/>
  <c r="K259" i="1"/>
  <c r="AJ259" i="1"/>
  <c r="U13" i="1"/>
  <c r="P16" i="1"/>
  <c r="S19" i="1"/>
  <c r="Z22" i="1"/>
  <c r="K25" i="1"/>
  <c r="K28" i="1"/>
  <c r="U30" i="1"/>
  <c r="S33" i="1"/>
  <c r="T36" i="1"/>
  <c r="AI38" i="1"/>
  <c r="H42" i="1"/>
  <c r="I44" i="1"/>
  <c r="M47" i="1"/>
  <c r="P50" i="1"/>
  <c r="AA52" i="1"/>
  <c r="AF55" i="1"/>
  <c r="AF57" i="1"/>
  <c r="R60" i="1"/>
  <c r="H63" i="1"/>
  <c r="AJ64" i="1"/>
  <c r="Q67" i="1"/>
  <c r="Q69" i="1"/>
  <c r="AG71" i="1"/>
  <c r="Q74" i="1"/>
  <c r="K76" i="1"/>
  <c r="W78" i="1"/>
  <c r="Z80" i="1"/>
  <c r="K83" i="1"/>
  <c r="V85" i="1"/>
  <c r="P87" i="1"/>
  <c r="X89" i="1"/>
  <c r="T91" i="1"/>
  <c r="AE93" i="1"/>
  <c r="AK95" i="1"/>
  <c r="AA97" i="1"/>
  <c r="I100" i="1"/>
  <c r="AK101" i="1"/>
  <c r="AL103" i="1"/>
  <c r="O106" i="1"/>
  <c r="AL107" i="1"/>
  <c r="I110" i="1"/>
  <c r="Y111" i="1"/>
  <c r="Z113" i="1"/>
  <c r="AB115" i="1"/>
  <c r="Q117" i="1"/>
  <c r="N119" i="1"/>
  <c r="AB120" i="1"/>
  <c r="V122" i="1"/>
  <c r="Q124" i="1"/>
  <c r="AC125" i="1"/>
  <c r="S127" i="1"/>
  <c r="AF128" i="1"/>
  <c r="Y130" i="1"/>
  <c r="O132" i="1"/>
  <c r="AC133" i="1"/>
  <c r="S135" i="1"/>
  <c r="AE136" i="1"/>
  <c r="S140" i="1"/>
  <c r="U143" i="1"/>
  <c r="AI144" i="1"/>
  <c r="AA146" i="1"/>
  <c r="R148" i="1"/>
  <c r="AD149" i="1"/>
  <c r="S151" i="1"/>
  <c r="AC152" i="1"/>
  <c r="P154" i="1"/>
  <c r="AE155" i="1"/>
  <c r="AJ156" i="1"/>
  <c r="P158" i="1"/>
  <c r="S159" i="1"/>
  <c r="AD160" i="1"/>
  <c r="H162" i="1"/>
  <c r="K163" i="1"/>
  <c r="V164" i="1"/>
  <c r="Y165" i="1"/>
  <c r="AJ166" i="1"/>
  <c r="O168" i="1"/>
  <c r="R169" i="1"/>
  <c r="AC170" i="1"/>
  <c r="AC171" i="1"/>
  <c r="L173" i="1"/>
  <c r="U174" i="1"/>
  <c r="T175" i="1"/>
  <c r="AA176" i="1"/>
  <c r="AB177" i="1"/>
  <c r="AD13" i="1"/>
  <c r="P17" i="1"/>
  <c r="AD20" i="1"/>
  <c r="P24" i="1"/>
  <c r="J27" i="1"/>
  <c r="T31" i="1"/>
  <c r="AH34" i="1"/>
  <c r="W37" i="1"/>
  <c r="AF40" i="1"/>
  <c r="L45" i="1"/>
  <c r="AD47" i="1"/>
  <c r="P51" i="1"/>
  <c r="Z54" i="1"/>
  <c r="M58" i="1"/>
  <c r="AJ60" i="1"/>
  <c r="U63" i="1"/>
  <c r="Q66" i="1"/>
  <c r="J69" i="1"/>
  <c r="I72" i="1"/>
  <c r="AB74" i="1"/>
  <c r="R77" i="1"/>
  <c r="J80" i="1"/>
  <c r="N83" i="1"/>
  <c r="AL85" i="1"/>
  <c r="S88" i="1"/>
  <c r="I91" i="1"/>
  <c r="AG93" i="1"/>
  <c r="U96" i="1"/>
  <c r="AF98" i="1"/>
  <c r="T101" i="1"/>
  <c r="AG103" i="1"/>
  <c r="S106" i="1"/>
  <c r="AH108" i="1"/>
  <c r="M111" i="1"/>
  <c r="R113" i="1"/>
  <c r="AD115" i="1"/>
  <c r="N118" i="1"/>
  <c r="P120" i="1"/>
  <c r="AG121" i="1"/>
  <c r="S124" i="1"/>
  <c r="L126" i="1"/>
  <c r="AH127" i="1"/>
  <c r="AF129" i="1"/>
  <c r="AF131" i="1"/>
  <c r="AG133" i="1"/>
  <c r="AH135" i="1"/>
  <c r="AC137" i="1"/>
  <c r="AB139" i="1"/>
  <c r="AI141" i="1"/>
  <c r="AC143" i="1"/>
  <c r="AD145" i="1"/>
  <c r="Y147" i="1"/>
  <c r="V149" i="1"/>
  <c r="U151" i="1"/>
  <c r="R153" i="1"/>
  <c r="J155" i="1"/>
  <c r="AB156" i="1"/>
  <c r="Q158" i="1"/>
  <c r="AG159" i="1"/>
  <c r="R161" i="1"/>
  <c r="AF162" i="1"/>
  <c r="H164" i="1"/>
  <c r="AK165" i="1"/>
  <c r="W167" i="1"/>
  <c r="AD168" i="1"/>
  <c r="M170" i="1"/>
  <c r="K172" i="1"/>
  <c r="Q173" i="1"/>
  <c r="AF174" i="1"/>
  <c r="N176" i="1"/>
  <c r="AE177" i="1"/>
  <c r="H179" i="1"/>
  <c r="R180" i="1"/>
  <c r="Z181" i="1"/>
  <c r="AB182" i="1"/>
  <c r="AK183" i="1"/>
  <c r="M185" i="1"/>
  <c r="Q186" i="1"/>
  <c r="AA187" i="1"/>
  <c r="AH188" i="1"/>
  <c r="AG189" i="1"/>
  <c r="I191" i="1"/>
  <c r="S192" i="1"/>
  <c r="T193" i="1"/>
  <c r="AF194" i="1"/>
  <c r="AL195" i="1"/>
  <c r="AL196" i="1"/>
  <c r="L198" i="1"/>
  <c r="P199" i="1"/>
  <c r="L200" i="1"/>
  <c r="O201" i="1"/>
  <c r="U202" i="1"/>
  <c r="R203" i="1"/>
  <c r="U204" i="1"/>
  <c r="X205" i="1"/>
  <c r="V206" i="1"/>
  <c r="Y207" i="1"/>
  <c r="U208" i="1"/>
  <c r="AA209" i="1"/>
  <c r="AE210" i="1"/>
  <c r="AH211" i="1"/>
  <c r="AD212" i="1"/>
  <c r="AH213" i="1"/>
  <c r="AE214" i="1"/>
  <c r="AH215" i="1"/>
  <c r="I217" i="1"/>
  <c r="L218" i="1"/>
  <c r="J219" i="1"/>
  <c r="L220" i="1"/>
  <c r="AK220" i="1"/>
  <c r="AL221" i="1"/>
  <c r="H223" i="1"/>
  <c r="K224" i="1"/>
  <c r="AL224" i="1"/>
  <c r="H226" i="1"/>
  <c r="AI226" i="1"/>
  <c r="AJ227" i="1"/>
  <c r="AK228" i="1"/>
  <c r="AE229" i="1"/>
  <c r="AI230" i="1"/>
  <c r="AJ231" i="1"/>
  <c r="AE232" i="1"/>
  <c r="AF233" i="1"/>
  <c r="AG234" i="1"/>
  <c r="AC235" i="1"/>
  <c r="AD236" i="1"/>
  <c r="AG237" i="1"/>
  <c r="AB238" i="1"/>
  <c r="AC239" i="1"/>
  <c r="AD240" i="1"/>
  <c r="Y241" i="1"/>
  <c r="Z242" i="1"/>
  <c r="AA243" i="1"/>
  <c r="Y244" i="1"/>
  <c r="Z245" i="1"/>
  <c r="AA246" i="1"/>
  <c r="W247" i="1"/>
  <c r="X248" i="1"/>
  <c r="Y249" i="1"/>
  <c r="S250" i="1"/>
  <c r="V251" i="1"/>
  <c r="W252" i="1"/>
  <c r="S253" i="1"/>
  <c r="T254" i="1"/>
  <c r="U255" i="1"/>
  <c r="Q256" i="1"/>
  <c r="R257" i="1"/>
  <c r="U258" i="1"/>
  <c r="P259" i="1"/>
  <c r="Q260" i="1"/>
  <c r="R260" i="1"/>
  <c r="AF143" i="1"/>
  <c r="AI189" i="1"/>
  <c r="T203" i="1"/>
  <c r="AH210" i="1"/>
  <c r="H215" i="1"/>
  <c r="K217" i="1"/>
  <c r="N220" i="1"/>
  <c r="I222" i="1"/>
  <c r="N224" i="1"/>
  <c r="K227" i="1"/>
  <c r="H229" i="1"/>
  <c r="AL230" i="1"/>
  <c r="AH233" i="1"/>
  <c r="AJ235" i="1"/>
  <c r="AJ238" i="1"/>
  <c r="AG240" i="1"/>
  <c r="AF243" i="1"/>
  <c r="AB245" i="1"/>
  <c r="AD247" i="1"/>
  <c r="AA249" i="1"/>
  <c r="Y251" i="1"/>
  <c r="AA253" i="1"/>
  <c r="S256" i="1"/>
  <c r="X259" i="1"/>
  <c r="AL13" i="1"/>
  <c r="AF24" i="1"/>
  <c r="AD28" i="1"/>
  <c r="AC31" i="1"/>
  <c r="H35" i="1"/>
  <c r="J42" i="1"/>
  <c r="AB48" i="1"/>
  <c r="AG55" i="1"/>
  <c r="W61" i="1"/>
  <c r="J70" i="1"/>
  <c r="H75" i="1"/>
  <c r="J86" i="1"/>
  <c r="Y96" i="1"/>
  <c r="I109" i="1"/>
  <c r="V120" i="1"/>
  <c r="Z132" i="1"/>
  <c r="AH143" i="1"/>
  <c r="M155" i="1"/>
  <c r="K166" i="1"/>
  <c r="AD176" i="1"/>
  <c r="S185" i="1"/>
  <c r="Z192" i="1"/>
  <c r="Y200" i="1"/>
  <c r="Y206" i="1"/>
  <c r="AH212" i="1"/>
  <c r="M219" i="1"/>
  <c r="J225" i="1"/>
  <c r="H231" i="1"/>
  <c r="AI236" i="1"/>
  <c r="AF242" i="1"/>
  <c r="AA248" i="1"/>
  <c r="AH13" i="1"/>
  <c r="V17" i="1"/>
  <c r="J21" i="1"/>
  <c r="U24" i="1"/>
  <c r="L28" i="1"/>
  <c r="U31" i="1"/>
  <c r="AJ34" i="1"/>
  <c r="N38" i="1"/>
  <c r="I41" i="1"/>
  <c r="O45" i="1"/>
  <c r="W48" i="1"/>
  <c r="Q51" i="1"/>
  <c r="AB54" i="1"/>
  <c r="Y58" i="1"/>
  <c r="H61" i="1"/>
  <c r="Z63" i="1"/>
  <c r="T66" i="1"/>
  <c r="R69" i="1"/>
  <c r="J72" i="1"/>
  <c r="AE74" i="1"/>
  <c r="V77" i="1"/>
  <c r="V80" i="1"/>
  <c r="O83" i="1"/>
  <c r="H86" i="1"/>
  <c r="T88" i="1"/>
  <c r="J91" i="1"/>
  <c r="AJ93" i="1"/>
  <c r="V96" i="1"/>
  <c r="AJ98" i="1"/>
  <c r="U101" i="1"/>
  <c r="H104" i="1"/>
  <c r="V106" i="1"/>
  <c r="AL108" i="1"/>
  <c r="P111" i="1"/>
  <c r="W113" i="1"/>
  <c r="AH115" i="1"/>
  <c r="O118" i="1"/>
  <c r="Q120" i="1"/>
  <c r="N122" i="1"/>
  <c r="T124" i="1"/>
  <c r="R126" i="1"/>
  <c r="O128" i="1"/>
  <c r="AH129" i="1"/>
  <c r="P132" i="1"/>
  <c r="R134" i="1"/>
  <c r="AI135" i="1"/>
  <c r="AG137" i="1"/>
  <c r="AD139" i="1"/>
  <c r="AJ141" i="1"/>
  <c r="AD143" i="1"/>
  <c r="AE145" i="1"/>
  <c r="Z147" i="1"/>
  <c r="Z149" i="1"/>
  <c r="V151" i="1"/>
  <c r="U153" i="1"/>
  <c r="K155" i="1"/>
  <c r="AE156" i="1"/>
  <c r="R158" i="1"/>
  <c r="AJ159" i="1"/>
  <c r="S161" i="1"/>
  <c r="AH162" i="1"/>
  <c r="W164" i="1"/>
  <c r="AL165" i="1"/>
  <c r="Y167" i="1"/>
  <c r="H169" i="1"/>
  <c r="N170" i="1"/>
  <c r="L172" i="1"/>
  <c r="AC173" i="1"/>
  <c r="AG174" i="1"/>
  <c r="P176" i="1"/>
  <c r="AK177" i="1"/>
  <c r="I179" i="1"/>
  <c r="S180" i="1"/>
  <c r="AA181" i="1"/>
  <c r="AC182" i="1"/>
  <c r="AL183" i="1"/>
  <c r="Q185" i="1"/>
  <c r="R186" i="1"/>
  <c r="AB187" i="1"/>
  <c r="AI188" i="1"/>
  <c r="AH189" i="1"/>
  <c r="M191" i="1"/>
  <c r="T192" i="1"/>
  <c r="X193" i="1"/>
  <c r="AG194" i="1"/>
  <c r="H196" i="1"/>
  <c r="H197" i="1"/>
  <c r="M198" i="1"/>
  <c r="Q199" i="1"/>
  <c r="M200" i="1"/>
  <c r="S201" i="1"/>
  <c r="W202" i="1"/>
  <c r="S203" i="1"/>
  <c r="V204" i="1"/>
  <c r="Z205" i="1"/>
  <c r="W206" i="1"/>
  <c r="Z207" i="1"/>
  <c r="AF208" i="1"/>
  <c r="AD209" i="1"/>
  <c r="AG210" i="1"/>
  <c r="AJ211" i="1"/>
  <c r="AE212" i="1"/>
  <c r="AI213" i="1"/>
  <c r="AL214" i="1"/>
  <c r="AL215" i="1"/>
  <c r="J217" i="1"/>
  <c r="M218" i="1"/>
  <c r="K219" i="1"/>
  <c r="M220" i="1"/>
  <c r="N221" i="1"/>
  <c r="H222" i="1"/>
  <c r="L223" i="1"/>
  <c r="M224" i="1"/>
  <c r="H225" i="1"/>
  <c r="I226" i="1"/>
  <c r="J227" i="1"/>
  <c r="AK227" i="1"/>
  <c r="AL228" i="1"/>
  <c r="J230" i="1"/>
  <c r="AJ230" i="1"/>
  <c r="AK231" i="1"/>
  <c r="AL232" i="1"/>
  <c r="AG233" i="1"/>
  <c r="AH234" i="1"/>
  <c r="AD235" i="1"/>
  <c r="AG236" i="1"/>
  <c r="AH237" i="1"/>
  <c r="AI238" i="1"/>
  <c r="AE239" i="1"/>
  <c r="AF240" i="1"/>
  <c r="Z241" i="1"/>
  <c r="AA242" i="1"/>
  <c r="AD243" i="1"/>
  <c r="AE244" i="1"/>
  <c r="AA245" i="1"/>
  <c r="AB246" i="1"/>
  <c r="X247" i="1"/>
  <c r="Y248" i="1"/>
  <c r="Z249" i="1"/>
  <c r="AC250" i="1"/>
  <c r="X251" i="1"/>
  <c r="Y252" i="1"/>
  <c r="T253" i="1"/>
  <c r="U254" i="1"/>
  <c r="V255" i="1"/>
  <c r="R256" i="1"/>
  <c r="U257" i="1"/>
  <c r="V258" i="1"/>
  <c r="Q259" i="1"/>
  <c r="AA147" i="1"/>
  <c r="AG193" i="1"/>
  <c r="AG208" i="1"/>
  <c r="N218" i="1"/>
  <c r="I225" i="1"/>
  <c r="H232" i="1"/>
  <c r="AH236" i="1"/>
  <c r="AH241" i="1"/>
  <c r="AC246" i="1"/>
  <c r="AD250" i="1"/>
  <c r="V254" i="1"/>
  <c r="V257" i="1"/>
  <c r="T260" i="1"/>
  <c r="AA17" i="1"/>
  <c r="R38" i="1"/>
  <c r="R45" i="1"/>
  <c r="L52" i="1"/>
  <c r="AJ58" i="1"/>
  <c r="V66" i="1"/>
  <c r="Z72" i="1"/>
  <c r="AA77" i="1"/>
  <c r="T83" i="1"/>
  <c r="AG88" i="1"/>
  <c r="AL93" i="1"/>
  <c r="AA101" i="1"/>
  <c r="Z106" i="1"/>
  <c r="AG113" i="1"/>
  <c r="R118" i="1"/>
  <c r="V124" i="1"/>
  <c r="S128" i="1"/>
  <c r="U134" i="1"/>
  <c r="Q138" i="1"/>
  <c r="AL141" i="1"/>
  <c r="AF147" i="1"/>
  <c r="AC151" i="1"/>
  <c r="AK156" i="1"/>
  <c r="AL159" i="1"/>
  <c r="Z164" i="1"/>
  <c r="J169" i="1"/>
  <c r="N172" i="1"/>
  <c r="O175" i="1"/>
  <c r="K179" i="1"/>
  <c r="H183" i="1"/>
  <c r="AB186" i="1"/>
  <c r="O190" i="1"/>
  <c r="AI193" i="1"/>
  <c r="J196" i="1"/>
  <c r="T199" i="1"/>
  <c r="Z202" i="1"/>
  <c r="Y204" i="1"/>
  <c r="AE207" i="1"/>
  <c r="AI210" i="1"/>
  <c r="AK213" i="1"/>
  <c r="L217" i="1"/>
  <c r="O220" i="1"/>
  <c r="O223" i="1"/>
  <c r="K226" i="1"/>
  <c r="H228" i="1"/>
  <c r="L230" i="1"/>
  <c r="J233" i="1"/>
  <c r="I236" i="1"/>
  <c r="AK238" i="1"/>
  <c r="AH240" i="1"/>
  <c r="AG243" i="1"/>
  <c r="AD246" i="1"/>
  <c r="AD249" i="1"/>
  <c r="AA251" i="1"/>
  <c r="AI13" i="1"/>
  <c r="Z17" i="1"/>
  <c r="N21" i="1"/>
  <c r="X24" i="1"/>
  <c r="R28" i="1"/>
  <c r="AB31" i="1"/>
  <c r="AL34" i="1"/>
  <c r="P38" i="1"/>
  <c r="I42" i="1"/>
  <c r="Q45" i="1"/>
  <c r="Z48" i="1"/>
  <c r="H52" i="1"/>
  <c r="AC54" i="1"/>
  <c r="AG58" i="1"/>
  <c r="V61" i="1"/>
  <c r="AB63" i="1"/>
  <c r="U66" i="1"/>
  <c r="I70" i="1"/>
  <c r="P72" i="1"/>
  <c r="AK74" i="1"/>
  <c r="W77" i="1"/>
  <c r="AA80" i="1"/>
  <c r="R83" i="1"/>
  <c r="I86" i="1"/>
  <c r="U88" i="1"/>
  <c r="M91" i="1"/>
  <c r="AK93" i="1"/>
  <c r="X96" i="1"/>
  <c r="N99" i="1"/>
  <c r="X101" i="1"/>
  <c r="J104" i="1"/>
  <c r="Y106" i="1"/>
  <c r="H109" i="1"/>
  <c r="T111" i="1"/>
  <c r="AC113" i="1"/>
  <c r="AI115" i="1"/>
  <c r="Q118" i="1"/>
  <c r="U120" i="1"/>
  <c r="O122" i="1"/>
  <c r="U124" i="1"/>
  <c r="V126" i="1"/>
  <c r="P128" i="1"/>
  <c r="Q130" i="1"/>
  <c r="X132" i="1"/>
  <c r="T134" i="1"/>
  <c r="U136" i="1"/>
  <c r="AJ137" i="1"/>
  <c r="AG139" i="1"/>
  <c r="AK141" i="1"/>
  <c r="AG145" i="1"/>
  <c r="AE149" i="1"/>
  <c r="Z151" i="1"/>
  <c r="V153" i="1"/>
  <c r="L155" i="1"/>
  <c r="AF156" i="1"/>
  <c r="S158" i="1"/>
  <c r="AK159" i="1"/>
  <c r="T161" i="1"/>
  <c r="AI162" i="1"/>
  <c r="X164" i="1"/>
  <c r="H166" i="1"/>
  <c r="Z167" i="1"/>
  <c r="I169" i="1"/>
  <c r="AD170" i="1"/>
  <c r="M172" i="1"/>
  <c r="AE173" i="1"/>
  <c r="M175" i="1"/>
  <c r="Q176" i="1"/>
  <c r="H178" i="1"/>
  <c r="J179" i="1"/>
  <c r="T180" i="1"/>
  <c r="AC181" i="1"/>
  <c r="AD182" i="1"/>
  <c r="H184" i="1"/>
  <c r="R185" i="1"/>
  <c r="AA186" i="1"/>
  <c r="AC187" i="1"/>
  <c r="AJ188" i="1"/>
  <c r="N191" i="1"/>
  <c r="U192" i="1"/>
  <c r="AH194" i="1"/>
  <c r="I196" i="1"/>
  <c r="I197" i="1"/>
  <c r="N198" i="1"/>
  <c r="R199" i="1"/>
  <c r="O200" i="1"/>
  <c r="V201" i="1"/>
  <c r="Y202" i="1"/>
  <c r="W204" i="1"/>
  <c r="AA205" i="1"/>
  <c r="X206" i="1"/>
  <c r="AB207" i="1"/>
  <c r="AE209" i="1"/>
  <c r="AK211" i="1"/>
  <c r="AG212" i="1"/>
  <c r="AJ213" i="1"/>
  <c r="H216" i="1"/>
  <c r="L219" i="1"/>
  <c r="O221" i="1"/>
  <c r="M223" i="1"/>
  <c r="J226" i="1"/>
  <c r="AL227" i="1"/>
  <c r="K230" i="1"/>
  <c r="I233" i="1"/>
  <c r="AI234" i="1"/>
  <c r="AI237" i="1"/>
  <c r="AF239" i="1"/>
  <c r="AB242" i="1"/>
  <c r="AG244" i="1"/>
  <c r="Z248" i="1"/>
  <c r="Z252" i="1"/>
  <c r="W255" i="1"/>
  <c r="W258" i="1"/>
  <c r="O21" i="1"/>
  <c r="R64" i="1"/>
  <c r="P81" i="1"/>
  <c r="Y91" i="1"/>
  <c r="O99" i="1"/>
  <c r="K104" i="1"/>
  <c r="U111" i="1"/>
  <c r="J116" i="1"/>
  <c r="Z122" i="1"/>
  <c r="W126" i="1"/>
  <c r="U130" i="1"/>
  <c r="V136" i="1"/>
  <c r="U140" i="1"/>
  <c r="AH145" i="1"/>
  <c r="AG149" i="1"/>
  <c r="W153" i="1"/>
  <c r="T158" i="1"/>
  <c r="U161" i="1"/>
  <c r="AL162" i="1"/>
  <c r="AA167" i="1"/>
  <c r="AE170" i="1"/>
  <c r="AF173" i="1"/>
  <c r="I178" i="1"/>
  <c r="U180" i="1"/>
  <c r="AD181" i="1"/>
  <c r="L184" i="1"/>
  <c r="AD187" i="1"/>
  <c r="AK188" i="1"/>
  <c r="P191" i="1"/>
  <c r="AI194" i="1"/>
  <c r="O197" i="1"/>
  <c r="O198" i="1"/>
  <c r="W201" i="1"/>
  <c r="AC203" i="1"/>
  <c r="AB205" i="1"/>
  <c r="AH208" i="1"/>
  <c r="AK209" i="1"/>
  <c r="AL211" i="1"/>
  <c r="L215" i="1"/>
  <c r="O216" i="1"/>
  <c r="O218" i="1"/>
  <c r="P221" i="1"/>
  <c r="S222" i="1"/>
  <c r="P224" i="1"/>
  <c r="L227" i="1"/>
  <c r="K229" i="1"/>
  <c r="I232" i="1"/>
  <c r="AI233" i="1"/>
  <c r="AJ234" i="1"/>
  <c r="AJ237" i="1"/>
  <c r="AG239" i="1"/>
  <c r="AI241" i="1"/>
  <c r="AH244" i="1"/>
  <c r="AC245" i="1"/>
  <c r="AE247" i="1"/>
  <c r="AE250" i="1"/>
  <c r="K14" i="1"/>
  <c r="J19" i="1"/>
  <c r="N23" i="1"/>
  <c r="AE28" i="1"/>
  <c r="R32" i="1"/>
  <c r="L37" i="1"/>
  <c r="K42" i="1"/>
  <c r="AK45" i="1"/>
  <c r="AG50" i="1"/>
  <c r="AH55" i="1"/>
  <c r="S59" i="1"/>
  <c r="M63" i="1"/>
  <c r="R67" i="1"/>
  <c r="W70" i="1"/>
  <c r="U74" i="1"/>
  <c r="AJ77" i="1"/>
  <c r="AC81" i="1"/>
  <c r="W85" i="1"/>
  <c r="AI88" i="1"/>
  <c r="V92" i="1"/>
  <c r="R95" i="1"/>
  <c r="P99" i="1"/>
  <c r="AF102" i="1"/>
  <c r="T105" i="1"/>
  <c r="K109" i="1"/>
  <c r="U112" i="1"/>
  <c r="AH114" i="1"/>
  <c r="S118" i="1"/>
  <c r="P121" i="1"/>
  <c r="U123" i="1"/>
  <c r="X126" i="1"/>
  <c r="O129" i="1"/>
  <c r="V131" i="1"/>
  <c r="V134" i="1"/>
  <c r="AF136" i="1"/>
  <c r="U139" i="1"/>
  <c r="N142" i="1"/>
  <c r="X144" i="1"/>
  <c r="AI146" i="1"/>
  <c r="AH149" i="1"/>
  <c r="N152" i="1"/>
  <c r="X154" i="1"/>
  <c r="AL156" i="1"/>
  <c r="AK158" i="1"/>
  <c r="AG160" i="1"/>
  <c r="L163" i="1"/>
  <c r="K165" i="1"/>
  <c r="H167" i="1"/>
  <c r="K169" i="1"/>
  <c r="AJ170" i="1"/>
  <c r="M173" i="1"/>
  <c r="P175" i="1"/>
  <c r="AL176" i="1"/>
  <c r="AG178" i="1"/>
  <c r="V180" i="1"/>
  <c r="P182" i="1"/>
  <c r="AD183" i="1"/>
  <c r="T185" i="1"/>
  <c r="AH186" i="1"/>
  <c r="T188" i="1"/>
  <c r="P190" i="1"/>
  <c r="AF191" i="1"/>
  <c r="P193" i="1"/>
  <c r="AJ194" i="1"/>
  <c r="R196" i="1"/>
  <c r="AJ197" i="1"/>
  <c r="U199" i="1"/>
  <c r="AD200" i="1"/>
  <c r="I202" i="1"/>
  <c r="AD203" i="1"/>
  <c r="AK204" i="1"/>
  <c r="Q206" i="1"/>
  <c r="AF207" i="1"/>
  <c r="I209" i="1"/>
  <c r="R210" i="1"/>
  <c r="H212" i="1"/>
  <c r="R213" i="1"/>
  <c r="Z214" i="1"/>
  <c r="Q216" i="1"/>
  <c r="Y217" i="1"/>
  <c r="AH218" i="1"/>
  <c r="P220" i="1"/>
  <c r="W221" i="1"/>
  <c r="AD222" i="1"/>
  <c r="Q224" i="1"/>
  <c r="V225" i="1"/>
  <c r="AC226" i="1"/>
  <c r="I228" i="1"/>
  <c r="W229" i="1"/>
  <c r="AB230" i="1"/>
  <c r="J232" i="1"/>
  <c r="O233" i="1"/>
  <c r="W234" i="1"/>
  <c r="J236" i="1"/>
  <c r="P237" i="1"/>
  <c r="U238" i="1"/>
  <c r="AH239" i="1"/>
  <c r="Q241" i="1"/>
  <c r="V242" i="1"/>
  <c r="AI243" i="1"/>
  <c r="I245" i="1"/>
  <c r="P246" i="1"/>
  <c r="AF247" i="1"/>
  <c r="J249" i="1"/>
  <c r="O250" i="1"/>
  <c r="AB251" i="1"/>
  <c r="AF252" i="1"/>
  <c r="AL253" i="1"/>
  <c r="L255" i="1"/>
  <c r="AA256" i="1"/>
  <c r="AG257" i="1"/>
  <c r="AK258" i="1"/>
  <c r="L260" i="1"/>
  <c r="V129" i="1"/>
  <c r="T182" i="1"/>
  <c r="Q195" i="1"/>
  <c r="K205" i="1"/>
  <c r="J212" i="1"/>
  <c r="AA217" i="1"/>
  <c r="AK222" i="1"/>
  <c r="AF226" i="1"/>
  <c r="L232" i="1"/>
  <c r="M236" i="1"/>
  <c r="S241" i="1"/>
  <c r="K245" i="1"/>
  <c r="L249" i="1"/>
  <c r="H253" i="1"/>
  <c r="AI257" i="1"/>
  <c r="U19" i="1"/>
  <c r="O51" i="1"/>
  <c r="T63" i="1"/>
  <c r="AH70" i="1"/>
  <c r="H82" i="1"/>
  <c r="AH85" i="1"/>
  <c r="Q96" i="1"/>
  <c r="AL102" i="1"/>
  <c r="R109" i="1"/>
  <c r="W118" i="1"/>
  <c r="AD123" i="1"/>
  <c r="AD131" i="1"/>
  <c r="V137" i="1"/>
  <c r="Z142" i="1"/>
  <c r="T150" i="1"/>
  <c r="AK154" i="1"/>
  <c r="Q161" i="1"/>
  <c r="O165" i="1"/>
  <c r="W169" i="1"/>
  <c r="W175" i="1"/>
  <c r="AJ180" i="1"/>
  <c r="AH183" i="1"/>
  <c r="AF188" i="1"/>
  <c r="AJ191" i="1"/>
  <c r="AC196" i="1"/>
  <c r="Z199" i="1"/>
  <c r="AG203" i="1"/>
  <c r="K208" i="1"/>
  <c r="K212" i="1"/>
  <c r="U216" i="1"/>
  <c r="H219" i="1"/>
  <c r="AG221" i="1"/>
  <c r="AA225" i="1"/>
  <c r="Z229" i="1"/>
  <c r="AA233" i="1"/>
  <c r="N236" i="1"/>
  <c r="AA238" i="1"/>
  <c r="Y242" i="1"/>
  <c r="Z246" i="1"/>
  <c r="M249" i="1"/>
  <c r="J253" i="1"/>
  <c r="AF256" i="1"/>
  <c r="O260" i="1"/>
  <c r="V19" i="1"/>
  <c r="AG29" i="1"/>
  <c r="AA33" i="1"/>
  <c r="AE38" i="1"/>
  <c r="N47" i="1"/>
  <c r="P52" i="1"/>
  <c r="M56" i="1"/>
  <c r="U64" i="1"/>
  <c r="Y75" i="1"/>
  <c r="M82" i="1"/>
  <c r="AE92" i="1"/>
  <c r="H103" i="1"/>
  <c r="AA112" i="1"/>
  <c r="T121" i="1"/>
  <c r="Y129" i="1"/>
  <c r="W137" i="1"/>
  <c r="AB142" i="1"/>
  <c r="V150" i="1"/>
  <c r="N155" i="1"/>
  <c r="N159" i="1"/>
  <c r="P165" i="1"/>
  <c r="U171" i="1"/>
  <c r="T177" i="1"/>
  <c r="AK180" i="1"/>
  <c r="M184" i="1"/>
  <c r="AL188" i="1"/>
  <c r="AJ193" i="1"/>
  <c r="P198" i="1"/>
  <c r="AK200" i="1"/>
  <c r="AH203" i="1"/>
  <c r="M208" i="1"/>
  <c r="AJ210" i="1"/>
  <c r="W213" i="1"/>
  <c r="AC217" i="1"/>
  <c r="AC220" i="1"/>
  <c r="P223" i="1"/>
  <c r="M227" i="1"/>
  <c r="AA229" i="1"/>
  <c r="AB233" i="1"/>
  <c r="T237" i="1"/>
  <c r="M240" i="1"/>
  <c r="M244" i="1"/>
  <c r="AE246" i="1"/>
  <c r="AF250" i="1"/>
  <c r="R254" i="1"/>
  <c r="AG256" i="1"/>
  <c r="U260" i="1"/>
  <c r="S15" i="1"/>
  <c r="AF33" i="1"/>
  <c r="Z43" i="1"/>
  <c r="Q52" i="1"/>
  <c r="Y64" i="1"/>
  <c r="K79" i="1"/>
  <c r="AL89" i="1"/>
  <c r="W100" i="1"/>
  <c r="AF106" i="1"/>
  <c r="P116" i="1"/>
  <c r="X124" i="1"/>
  <c r="AB132" i="1"/>
  <c r="X140" i="1"/>
  <c r="V145" i="1"/>
  <c r="N153" i="1"/>
  <c r="X157" i="1"/>
  <c r="W161" i="1"/>
  <c r="AC167" i="1"/>
  <c r="V171" i="1"/>
  <c r="AI175" i="1"/>
  <c r="I181" i="1"/>
  <c r="W184" i="1"/>
  <c r="H189" i="1"/>
  <c r="AK193" i="1"/>
  <c r="AG196" i="1"/>
  <c r="L201" i="1"/>
  <c r="O205" i="1"/>
  <c r="N208" i="1"/>
  <c r="W212" i="1"/>
  <c r="W216" i="1"/>
  <c r="AD220" i="1"/>
  <c r="V224" i="1"/>
  <c r="W228" i="1"/>
  <c r="U232" i="1"/>
  <c r="P236" i="1"/>
  <c r="H239" i="1"/>
  <c r="I243" i="1"/>
  <c r="AF246" i="1"/>
  <c r="AG250" i="1"/>
  <c r="O253" i="1"/>
  <c r="AH256" i="1"/>
  <c r="V260" i="1"/>
  <c r="I20" i="1"/>
  <c r="AH33" i="1"/>
  <c r="AB43" i="1"/>
  <c r="AB52" i="1"/>
  <c r="AA60" i="1"/>
  <c r="K68" i="1"/>
  <c r="AI82" i="1"/>
  <c r="V93" i="1"/>
  <c r="J103" i="1"/>
  <c r="N110" i="1"/>
  <c r="T119" i="1"/>
  <c r="Z124" i="1"/>
  <c r="AC132" i="1"/>
  <c r="Y140" i="1"/>
  <c r="Z150" i="1"/>
  <c r="AF155" i="1"/>
  <c r="X161" i="1"/>
  <c r="AD167" i="1"/>
  <c r="Y171" i="1"/>
  <c r="W177" i="1"/>
  <c r="K181" i="1"/>
  <c r="AJ185" i="1"/>
  <c r="K189" i="1"/>
  <c r="I192" i="1"/>
  <c r="AH196" i="1"/>
  <c r="M201" i="1"/>
  <c r="Q205" i="1"/>
  <c r="V209" i="1"/>
  <c r="X212" i="1"/>
  <c r="X216" i="1"/>
  <c r="U219" i="1"/>
  <c r="R223" i="1"/>
  <c r="P227" i="1"/>
  <c r="AC229" i="1"/>
  <c r="AD233" i="1"/>
  <c r="V237" i="1"/>
  <c r="W241" i="1"/>
  <c r="O244" i="1"/>
  <c r="K248" i="1"/>
  <c r="I252" i="1"/>
  <c r="W254" i="1"/>
  <c r="H258" i="1"/>
  <c r="W260" i="1"/>
  <c r="AA20" i="1"/>
  <c r="AJ29" i="1"/>
  <c r="L34" i="1"/>
  <c r="J39" i="1"/>
  <c r="AC43" i="1"/>
  <c r="AC47" i="1"/>
  <c r="H57" i="1"/>
  <c r="AK64" i="1"/>
  <c r="AK71" i="1"/>
  <c r="L83" i="1"/>
  <c r="W93" i="1"/>
  <c r="T107" i="1"/>
  <c r="AE121" i="1"/>
  <c r="AB137" i="1"/>
  <c r="AC150" i="1"/>
  <c r="AG163" i="1"/>
  <c r="AK175" i="1"/>
  <c r="Y184" i="1"/>
  <c r="H194" i="1"/>
  <c r="AD202" i="1"/>
  <c r="Y212" i="1"/>
  <c r="AF220" i="1"/>
  <c r="Y228" i="1"/>
  <c r="AF237" i="1"/>
  <c r="AI246" i="1"/>
  <c r="X254" i="1"/>
  <c r="N26" i="1"/>
  <c r="Q76" i="1"/>
  <c r="V97" i="1"/>
  <c r="AH113" i="1"/>
  <c r="Z127" i="1"/>
  <c r="AB140" i="1"/>
  <c r="AH155" i="1"/>
  <c r="I170" i="1"/>
  <c r="J183" i="1"/>
  <c r="L14" i="1"/>
  <c r="K19" i="1"/>
  <c r="AE23" i="1"/>
  <c r="AF28" i="1"/>
  <c r="K33" i="1"/>
  <c r="T37" i="1"/>
  <c r="T42" i="1"/>
  <c r="P46" i="1"/>
  <c r="AL50" i="1"/>
  <c r="AK55" i="1"/>
  <c r="V59" i="1"/>
  <c r="N63" i="1"/>
  <c r="Y67" i="1"/>
  <c r="AA70" i="1"/>
  <c r="X74" i="1"/>
  <c r="AA78" i="1"/>
  <c r="AF81" i="1"/>
  <c r="AC85" i="1"/>
  <c r="AL88" i="1"/>
  <c r="W92" i="1"/>
  <c r="J96" i="1"/>
  <c r="Q99" i="1"/>
  <c r="AG102" i="1"/>
  <c r="X105" i="1"/>
  <c r="L109" i="1"/>
  <c r="W112" i="1"/>
  <c r="AI114" i="1"/>
  <c r="T118" i="1"/>
  <c r="Q121" i="1"/>
  <c r="X123" i="1"/>
  <c r="Z126" i="1"/>
  <c r="P129" i="1"/>
  <c r="W131" i="1"/>
  <c r="W134" i="1"/>
  <c r="Q137" i="1"/>
  <c r="V139" i="1"/>
  <c r="W142" i="1"/>
  <c r="AA144" i="1"/>
  <c r="T147" i="1"/>
  <c r="Q150" i="1"/>
  <c r="T152" i="1"/>
  <c r="Y154" i="1"/>
  <c r="H157" i="1"/>
  <c r="AL158" i="1"/>
  <c r="AH160" i="1"/>
  <c r="M163" i="1"/>
  <c r="M165" i="1"/>
  <c r="I167" i="1"/>
  <c r="S169" i="1"/>
  <c r="R171" i="1"/>
  <c r="N173" i="1"/>
  <c r="Q175" i="1"/>
  <c r="H177" i="1"/>
  <c r="AJ178" i="1"/>
  <c r="Y180" i="1"/>
  <c r="Q182" i="1"/>
  <c r="AF183" i="1"/>
  <c r="W185" i="1"/>
  <c r="AJ186" i="1"/>
  <c r="U188" i="1"/>
  <c r="Q190" i="1"/>
  <c r="AG191" i="1"/>
  <c r="Q193" i="1"/>
  <c r="AK194" i="1"/>
  <c r="T196" i="1"/>
  <c r="AL197" i="1"/>
  <c r="X199" i="1"/>
  <c r="AF200" i="1"/>
  <c r="J202" i="1"/>
  <c r="AE203" i="1"/>
  <c r="J205" i="1"/>
  <c r="R206" i="1"/>
  <c r="AG207" i="1"/>
  <c r="J209" i="1"/>
  <c r="Z210" i="1"/>
  <c r="I212" i="1"/>
  <c r="S213" i="1"/>
  <c r="AB214" i="1"/>
  <c r="R216" i="1"/>
  <c r="Z217" i="1"/>
  <c r="AI218" i="1"/>
  <c r="Q220" i="1"/>
  <c r="X221" i="1"/>
  <c r="AE222" i="1"/>
  <c r="R224" i="1"/>
  <c r="W225" i="1"/>
  <c r="AE226" i="1"/>
  <c r="R228" i="1"/>
  <c r="X229" i="1"/>
  <c r="AC230" i="1"/>
  <c r="K232" i="1"/>
  <c r="R233" i="1"/>
  <c r="X234" i="1"/>
  <c r="L236" i="1"/>
  <c r="Q237" i="1"/>
  <c r="X238" i="1"/>
  <c r="I240" i="1"/>
  <c r="R241" i="1"/>
  <c r="W242" i="1"/>
  <c r="AJ243" i="1"/>
  <c r="J245" i="1"/>
  <c r="Q246" i="1"/>
  <c r="AG247" i="1"/>
  <c r="K249" i="1"/>
  <c r="P250" i="1"/>
  <c r="AH251" i="1"/>
  <c r="AG252" i="1"/>
  <c r="O254" i="1"/>
  <c r="M255" i="1"/>
  <c r="AC256" i="1"/>
  <c r="AH257" i="1"/>
  <c r="AL258" i="1"/>
  <c r="M260" i="1"/>
  <c r="AA126" i="1"/>
  <c r="Q177" i="1"/>
  <c r="I187" i="1"/>
  <c r="R190" i="1"/>
  <c r="R193" i="1"/>
  <c r="I198" i="1"/>
  <c r="Y199" i="1"/>
  <c r="AG200" i="1"/>
  <c r="AF203" i="1"/>
  <c r="T206" i="1"/>
  <c r="J208" i="1"/>
  <c r="AA210" i="1"/>
  <c r="T213" i="1"/>
  <c r="AC214" i="1"/>
  <c r="S216" i="1"/>
  <c r="R220" i="1"/>
  <c r="AF221" i="1"/>
  <c r="S224" i="1"/>
  <c r="X225" i="1"/>
  <c r="T228" i="1"/>
  <c r="AD230" i="1"/>
  <c r="Z233" i="1"/>
  <c r="AE234" i="1"/>
  <c r="R237" i="1"/>
  <c r="J240" i="1"/>
  <c r="X242" i="1"/>
  <c r="AK243" i="1"/>
  <c r="Y246" i="1"/>
  <c r="Q250" i="1"/>
  <c r="AI251" i="1"/>
  <c r="P254" i="1"/>
  <c r="AD256" i="1"/>
  <c r="H259" i="1"/>
  <c r="O15" i="1"/>
  <c r="AH28" i="1"/>
  <c r="Z33" i="1"/>
  <c r="V37" i="1"/>
  <c r="AA42" i="1"/>
  <c r="H47" i="1"/>
  <c r="L56" i="1"/>
  <c r="M60" i="1"/>
  <c r="AA67" i="1"/>
  <c r="AH78" i="1"/>
  <c r="AH89" i="1"/>
  <c r="M100" i="1"/>
  <c r="AC115" i="1"/>
  <c r="W129" i="1"/>
  <c r="AK144" i="1"/>
  <c r="I159" i="1"/>
  <c r="P173" i="1"/>
  <c r="Z185" i="1"/>
  <c r="R195" i="1"/>
  <c r="L205" i="1"/>
  <c r="AD214" i="1"/>
  <c r="T224" i="1"/>
  <c r="M232" i="1"/>
  <c r="T241" i="1"/>
  <c r="R250" i="1"/>
  <c r="I259" i="1"/>
  <c r="L25" i="1"/>
  <c r="AB67" i="1"/>
  <c r="AK89" i="1"/>
  <c r="AE106" i="1"/>
  <c r="AA118" i="1"/>
  <c r="AA132" i="1"/>
  <c r="AJ147" i="1"/>
  <c r="V161" i="1"/>
  <c r="X175" i="1"/>
  <c r="K187" i="1"/>
  <c r="AD196" i="1"/>
  <c r="AF206" i="1"/>
  <c r="V216" i="1"/>
  <c r="AB225" i="1"/>
  <c r="AK234" i="1"/>
  <c r="H243" i="1"/>
  <c r="AK251" i="1"/>
  <c r="L259" i="1"/>
  <c r="V25" i="1"/>
  <c r="R71" i="1"/>
  <c r="AC96" i="1"/>
  <c r="Q119" i="1"/>
  <c r="AG134" i="1"/>
  <c r="W150" i="1"/>
  <c r="S165" i="1"/>
  <c r="X179" i="1"/>
  <c r="X190" i="1"/>
  <c r="AJ199" i="1"/>
  <c r="AK210" i="1"/>
  <c r="AI221" i="1"/>
  <c r="O231" i="1"/>
  <c r="V241" i="1"/>
  <c r="O249" i="1"/>
  <c r="AL257" i="1"/>
  <c r="W25" i="1"/>
  <c r="AH75" i="1"/>
  <c r="X100" i="1"/>
  <c r="Q116" i="1"/>
  <c r="AB129" i="1"/>
  <c r="Y145" i="1"/>
  <c r="AC159" i="1"/>
  <c r="AI173" i="1"/>
  <c r="X184" i="1"/>
  <c r="U195" i="1"/>
  <c r="AJ203" i="1"/>
  <c r="P215" i="1"/>
  <c r="W224" i="1"/>
  <c r="V232" i="1"/>
  <c r="R240" i="1"/>
  <c r="P249" i="1"/>
  <c r="AI256" i="1"/>
  <c r="J26" i="1"/>
  <c r="AG60" i="1"/>
  <c r="AL75" i="1"/>
  <c r="H87" i="1"/>
  <c r="U97" i="1"/>
  <c r="AF103" i="1"/>
  <c r="AD112" i="1"/>
  <c r="W119" i="1"/>
  <c r="AC124" i="1"/>
  <c r="AE129" i="1"/>
  <c r="W135" i="1"/>
  <c r="AE142" i="1"/>
  <c r="AB148" i="1"/>
  <c r="AG155" i="1"/>
  <c r="AD159" i="1"/>
  <c r="AJ165" i="1"/>
  <c r="H170" i="1"/>
  <c r="AJ173" i="1"/>
  <c r="Z179" i="1"/>
  <c r="AA182" i="1"/>
  <c r="H186" i="1"/>
  <c r="L189" i="1"/>
  <c r="J192" i="1"/>
  <c r="AK196" i="1"/>
  <c r="AL199" i="1"/>
  <c r="I204" i="1"/>
  <c r="H207" i="1"/>
  <c r="Z209" i="1"/>
  <c r="AF213" i="1"/>
  <c r="Y216" i="1"/>
  <c r="X219" i="1"/>
  <c r="X223" i="1"/>
  <c r="AL225" i="1"/>
  <c r="AD229" i="1"/>
  <c r="AE233" i="1"/>
  <c r="J239" i="1"/>
  <c r="X241" i="1"/>
  <c r="Y245" i="1"/>
  <c r="W249" i="1"/>
  <c r="J252" i="1"/>
  <c r="AJ256" i="1"/>
  <c r="AC260" i="1"/>
  <c r="Q21" i="1"/>
  <c r="AL29" i="1"/>
  <c r="P35" i="1"/>
  <c r="AF43" i="1"/>
  <c r="I53" i="1"/>
  <c r="Z61" i="1"/>
  <c r="X68" i="1"/>
  <c r="AJ79" i="1"/>
  <c r="K90" i="1"/>
  <c r="Z100" i="1"/>
  <c r="U107" i="1"/>
  <c r="AE116" i="1"/>
  <c r="AA122" i="1"/>
  <c r="Z130" i="1"/>
  <c r="AA135" i="1"/>
  <c r="AG142" i="1"/>
  <c r="AD150" i="1"/>
  <c r="AC157" i="1"/>
  <c r="J162" i="1"/>
  <c r="M166" i="1"/>
  <c r="P172" i="1"/>
  <c r="L178" i="1"/>
  <c r="N181" i="1"/>
  <c r="I186" i="1"/>
  <c r="AJ190" i="1"/>
  <c r="U14" i="1"/>
  <c r="T19" i="1"/>
  <c r="AF23" i="1"/>
  <c r="AG28" i="1"/>
  <c r="M33" i="1"/>
  <c r="U37" i="1"/>
  <c r="W42" i="1"/>
  <c r="AL46" i="1"/>
  <c r="L51" i="1"/>
  <c r="AL55" i="1"/>
  <c r="X59" i="1"/>
  <c r="P63" i="1"/>
  <c r="Z67" i="1"/>
  <c r="AB70" i="1"/>
  <c r="Y74" i="1"/>
  <c r="AB78" i="1"/>
  <c r="AK81" i="1"/>
  <c r="AD85" i="1"/>
  <c r="AG89" i="1"/>
  <c r="Y92" i="1"/>
  <c r="O96" i="1"/>
  <c r="T99" i="1"/>
  <c r="AH102" i="1"/>
  <c r="P106" i="1"/>
  <c r="Q109" i="1"/>
  <c r="Y112" i="1"/>
  <c r="I115" i="1"/>
  <c r="U118" i="1"/>
  <c r="R121" i="1"/>
  <c r="Y123" i="1"/>
  <c r="X131" i="1"/>
  <c r="Y134" i="1"/>
  <c r="S137" i="1"/>
  <c r="W139" i="1"/>
  <c r="Y142" i="1"/>
  <c r="AD144" i="1"/>
  <c r="W147" i="1"/>
  <c r="S150" i="1"/>
  <c r="X152" i="1"/>
  <c r="AI154" i="1"/>
  <c r="T157" i="1"/>
  <c r="H159" i="1"/>
  <c r="AI160" i="1"/>
  <c r="N163" i="1"/>
  <c r="N165" i="1"/>
  <c r="J167" i="1"/>
  <c r="T169" i="1"/>
  <c r="S171" i="1"/>
  <c r="O173" i="1"/>
  <c r="U175" i="1"/>
  <c r="AK178" i="1"/>
  <c r="Z180" i="1"/>
  <c r="AG183" i="1"/>
  <c r="X185" i="1"/>
  <c r="V188" i="1"/>
  <c r="AI191" i="1"/>
  <c r="Z196" i="1"/>
  <c r="K202" i="1"/>
  <c r="R209" i="1"/>
  <c r="AK218" i="1"/>
  <c r="Y229" i="1"/>
  <c r="Y238" i="1"/>
  <c r="AH247" i="1"/>
  <c r="T255" i="1"/>
  <c r="N260" i="1"/>
  <c r="AG23" i="1"/>
  <c r="AA74" i="1"/>
  <c r="AA92" i="1"/>
  <c r="Q106" i="1"/>
  <c r="Z112" i="1"/>
  <c r="S121" i="1"/>
  <c r="AC126" i="1"/>
  <c r="Z134" i="1"/>
  <c r="X139" i="1"/>
  <c r="X147" i="1"/>
  <c r="Y152" i="1"/>
  <c r="U157" i="1"/>
  <c r="Z163" i="1"/>
  <c r="K167" i="1"/>
  <c r="T171" i="1"/>
  <c r="R177" i="1"/>
  <c r="AL178" i="1"/>
  <c r="V182" i="1"/>
  <c r="J187" i="1"/>
  <c r="U190" i="1"/>
  <c r="S193" i="1"/>
  <c r="K198" i="1"/>
  <c r="AI200" i="1"/>
  <c r="S202" i="1"/>
  <c r="U206" i="1"/>
  <c r="S209" i="1"/>
  <c r="AC210" i="1"/>
  <c r="V213" i="1"/>
  <c r="AB217" i="1"/>
  <c r="AB220" i="1"/>
  <c r="AL222" i="1"/>
  <c r="AH226" i="1"/>
  <c r="U228" i="1"/>
  <c r="AG230" i="1"/>
  <c r="AF234" i="1"/>
  <c r="S237" i="1"/>
  <c r="K240" i="1"/>
  <c r="AL243" i="1"/>
  <c r="L245" i="1"/>
  <c r="H248" i="1"/>
  <c r="AJ251" i="1"/>
  <c r="Q254" i="1"/>
  <c r="X255" i="1"/>
  <c r="AJ257" i="1"/>
  <c r="P15" i="1"/>
  <c r="AB42" i="1"/>
  <c r="O60" i="1"/>
  <c r="Q71" i="1"/>
  <c r="H79" i="1"/>
  <c r="K86" i="1"/>
  <c r="Z96" i="1"/>
  <c r="V100" i="1"/>
  <c r="J110" i="1"/>
  <c r="N116" i="1"/>
  <c r="W124" i="1"/>
  <c r="AD126" i="1"/>
  <c r="AE134" i="1"/>
  <c r="V140" i="1"/>
  <c r="Q145" i="1"/>
  <c r="AD152" i="1"/>
  <c r="W157" i="1"/>
  <c r="AB163" i="1"/>
  <c r="AB167" i="1"/>
  <c r="AD169" i="1"/>
  <c r="AG173" i="1"/>
  <c r="W179" i="1"/>
  <c r="W182" i="1"/>
  <c r="AA185" i="1"/>
  <c r="V190" i="1"/>
  <c r="AL191" i="1"/>
  <c r="S195" i="1"/>
  <c r="AA199" i="1"/>
  <c r="AA202" i="1"/>
  <c r="N205" i="1"/>
  <c r="T209" i="1"/>
  <c r="L212" i="1"/>
  <c r="N215" i="1"/>
  <c r="S219" i="1"/>
  <c r="AH221" i="1"/>
  <c r="U224" i="1"/>
  <c r="V228" i="1"/>
  <c r="N231" i="1"/>
  <c r="S232" i="1"/>
  <c r="O236" i="1"/>
  <c r="AL238" i="1"/>
  <c r="U241" i="1"/>
  <c r="S245" i="1"/>
  <c r="I248" i="1"/>
  <c r="N249" i="1"/>
  <c r="N253" i="1"/>
  <c r="Y255" i="1"/>
  <c r="AK257" i="1"/>
  <c r="AH19" i="1"/>
  <c r="AH29" i="1"/>
  <c r="AJ38" i="1"/>
  <c r="U47" i="1"/>
  <c r="O56" i="1"/>
  <c r="Y60" i="1"/>
  <c r="AF67" i="1"/>
  <c r="Z75" i="1"/>
  <c r="W82" i="1"/>
  <c r="AH86" i="1"/>
  <c r="AF92" i="1"/>
  <c r="I103" i="1"/>
  <c r="L110" i="1"/>
  <c r="AB112" i="1"/>
  <c r="X121" i="1"/>
  <c r="AE126" i="1"/>
  <c r="Z129" i="1"/>
  <c r="X137" i="1"/>
  <c r="AC142" i="1"/>
  <c r="S148" i="1"/>
  <c r="Q155" i="1"/>
  <c r="T159" i="1"/>
  <c r="AC163" i="1"/>
  <c r="AE169" i="1"/>
  <c r="AH173" i="1"/>
  <c r="U177" i="1"/>
  <c r="Y182" i="1"/>
  <c r="AI185" i="1"/>
  <c r="S187" i="1"/>
  <c r="H192" i="1"/>
  <c r="T195" i="1"/>
  <c r="Q198" i="1"/>
  <c r="AB202" i="1"/>
  <c r="AI203" i="1"/>
  <c r="AK206" i="1"/>
  <c r="U209" i="1"/>
  <c r="AD213" i="1"/>
  <c r="O215" i="1"/>
  <c r="AF217" i="1"/>
  <c r="T219" i="1"/>
  <c r="Q223" i="1"/>
  <c r="AJ225" i="1"/>
  <c r="N227" i="1"/>
  <c r="AB229" i="1"/>
  <c r="AC233" i="1"/>
  <c r="K235" i="1"/>
  <c r="U237" i="1"/>
  <c r="Q240" i="1"/>
  <c r="N244" i="1"/>
  <c r="W245" i="1"/>
  <c r="J248" i="1"/>
  <c r="AL251" i="1"/>
  <c r="S254" i="1"/>
  <c r="AC255" i="1"/>
  <c r="M259" i="1"/>
  <c r="T15" i="1"/>
  <c r="AI29" i="1"/>
  <c r="AK38" i="1"/>
  <c r="AA47" i="1"/>
  <c r="AL56" i="1"/>
  <c r="AA64" i="1"/>
  <c r="AJ71" i="1"/>
  <c r="N79" i="1"/>
  <c r="AI86" i="1"/>
  <c r="H90" i="1"/>
  <c r="R97" i="1"/>
  <c r="AJ106" i="1"/>
  <c r="AC112" i="1"/>
  <c r="Y121" i="1"/>
  <c r="T127" i="1"/>
  <c r="AI134" i="1"/>
  <c r="Y137" i="1"/>
  <c r="AD142" i="1"/>
  <c r="Z148" i="1"/>
  <c r="P153" i="1"/>
  <c r="AA157" i="1"/>
  <c r="AD163" i="1"/>
  <c r="Z165" i="1"/>
  <c r="AI169" i="1"/>
  <c r="AJ175" i="1"/>
  <c r="Y179" i="1"/>
  <c r="Z182" i="1"/>
  <c r="U187" i="1"/>
  <c r="AB190" i="1"/>
  <c r="AL193" i="1"/>
  <c r="S198" i="1"/>
  <c r="AK199" i="1"/>
  <c r="AC202" i="1"/>
  <c r="AL206" i="1"/>
  <c r="O208" i="1"/>
  <c r="AL210" i="1"/>
  <c r="AE213" i="1"/>
  <c r="AH217" i="1"/>
  <c r="AE220" i="1"/>
  <c r="AJ221" i="1"/>
  <c r="AK225" i="1"/>
  <c r="X228" i="1"/>
  <c r="P231" i="1"/>
  <c r="L235" i="1"/>
  <c r="Q236" i="1"/>
  <c r="I239" i="1"/>
  <c r="J243" i="1"/>
  <c r="X245" i="1"/>
  <c r="AG246" i="1"/>
  <c r="AH250" i="1"/>
  <c r="P253" i="1"/>
  <c r="AE255" i="1"/>
  <c r="N259" i="1"/>
  <c r="Y15" i="1"/>
  <c r="AI52" i="1"/>
  <c r="W68" i="1"/>
  <c r="P79" i="1"/>
  <c r="I90" i="1"/>
  <c r="Y100" i="1"/>
  <c r="O110" i="1"/>
  <c r="T116" i="1"/>
  <c r="V127" i="1"/>
  <c r="AD132" i="1"/>
  <c r="Z140" i="1"/>
  <c r="Z145" i="1"/>
  <c r="Q153" i="1"/>
  <c r="AB157" i="1"/>
  <c r="I162" i="1"/>
  <c r="AE167" i="1"/>
  <c r="AF171" i="1"/>
  <c r="Y177" i="1"/>
  <c r="M181" i="1"/>
  <c r="V187" i="1"/>
  <c r="AC190" i="1"/>
  <c r="V195" i="1"/>
  <c r="AD198" i="1"/>
  <c r="N201" i="1"/>
  <c r="R205" i="1"/>
  <c r="P208" i="1"/>
  <c r="M211" i="1"/>
  <c r="Q215" i="1"/>
  <c r="AI217" i="1"/>
  <c r="AK221" i="1"/>
  <c r="AD224" i="1"/>
  <c r="T227" i="1"/>
  <c r="Q231" i="1"/>
  <c r="Z232" i="1"/>
  <c r="R235" i="1"/>
  <c r="W236" i="1"/>
  <c r="S240" i="1"/>
  <c r="K243" i="1"/>
  <c r="Q244" i="1"/>
  <c r="Q248" i="1"/>
  <c r="AI250" i="1"/>
  <c r="Q253" i="1"/>
  <c r="AF255" i="1"/>
  <c r="I258" i="1"/>
  <c r="Y259" i="1"/>
  <c r="AD15" i="1"/>
  <c r="AI39" i="1"/>
  <c r="AD48" i="1"/>
  <c r="S57" i="1"/>
  <c r="I65" i="1"/>
  <c r="H73" i="1"/>
  <c r="K84" i="1"/>
  <c r="J87" i="1"/>
  <c r="H94" i="1"/>
  <c r="S104" i="1"/>
  <c r="X110" i="1"/>
  <c r="X119" i="1"/>
  <c r="AJ124" i="1"/>
  <c r="AE132" i="1"/>
  <c r="R138" i="1"/>
  <c r="AJ145" i="1"/>
  <c r="AD148" i="1"/>
  <c r="X153" i="1"/>
  <c r="H160" i="1"/>
  <c r="AH163" i="1"/>
  <c r="P168" i="1"/>
  <c r="AK173" i="1"/>
  <c r="AL175" i="1"/>
  <c r="AA179" i="1"/>
  <c r="Z184" i="1"/>
  <c r="AE187" i="1"/>
  <c r="M189" i="1"/>
  <c r="Q16" i="1"/>
  <c r="AC26" i="1"/>
  <c r="V36" i="1"/>
  <c r="AJ45" i="1"/>
  <c r="W57" i="1"/>
  <c r="AL65" i="1"/>
  <c r="T73" i="1"/>
  <c r="M84" i="1"/>
  <c r="AF90" i="1"/>
  <c r="AA98" i="1"/>
  <c r="P105" i="1"/>
  <c r="L114" i="1"/>
  <c r="W120" i="1"/>
  <c r="AF125" i="1"/>
  <c r="AF132" i="1"/>
  <c r="AE138" i="1"/>
  <c r="S144" i="1"/>
  <c r="U149" i="1"/>
  <c r="J156" i="1"/>
  <c r="X160" i="1"/>
  <c r="AC164" i="1"/>
  <c r="J170" i="1"/>
  <c r="X174" i="1"/>
  <c r="S178" i="1"/>
  <c r="I182" i="1"/>
  <c r="K186" i="1"/>
  <c r="AC189" i="1"/>
  <c r="I193" i="1"/>
  <c r="L196" i="1"/>
  <c r="AK198" i="1"/>
  <c r="AI201" i="1"/>
  <c r="AB204" i="1"/>
  <c r="U207" i="1"/>
  <c r="M210" i="1"/>
  <c r="L213" i="1"/>
  <c r="AE215" i="1"/>
  <c r="X218" i="1"/>
  <c r="T221" i="1"/>
  <c r="AF223" i="1"/>
  <c r="Z226" i="1"/>
  <c r="M229" i="1"/>
  <c r="AF231" i="1"/>
  <c r="S234" i="1"/>
  <c r="M237" i="1"/>
  <c r="Y239" i="1"/>
  <c r="L242" i="1"/>
  <c r="AK244" i="1"/>
  <c r="R247" i="1"/>
  <c r="L250" i="1"/>
  <c r="AC252" i="1"/>
  <c r="H255" i="1"/>
  <c r="W257" i="1"/>
  <c r="AF259" i="1"/>
  <c r="AL198" i="1"/>
  <c r="M213" i="1"/>
  <c r="Y218" i="1"/>
  <c r="AG223" i="1"/>
  <c r="AA226" i="1"/>
  <c r="AG231" i="1"/>
  <c r="T234" i="1"/>
  <c r="N237" i="1"/>
  <c r="M242" i="1"/>
  <c r="AL244" i="1"/>
  <c r="T247" i="1"/>
  <c r="M250" i="1"/>
  <c r="AD252" i="1"/>
  <c r="X257" i="1"/>
  <c r="AG259" i="1"/>
  <c r="O17" i="1"/>
  <c r="AA107" i="1"/>
  <c r="S133" i="1"/>
  <c r="AH150" i="1"/>
  <c r="N166" i="1"/>
  <c r="AC174" i="1"/>
  <c r="O183" i="1"/>
  <c r="AE189" i="1"/>
  <c r="O196" i="1"/>
  <c r="H202" i="1"/>
  <c r="Q210" i="1"/>
  <c r="AG215" i="1"/>
  <c r="AJ223" i="1"/>
  <c r="V229" i="1"/>
  <c r="U234" i="1"/>
  <c r="AB239" i="1"/>
  <c r="U247" i="1"/>
  <c r="J255" i="1"/>
  <c r="AG26" i="1"/>
  <c r="AF151" i="1"/>
  <c r="AE186" i="1"/>
  <c r="R208" i="1"/>
  <c r="V227" i="1"/>
  <c r="M243" i="1"/>
  <c r="T258" i="1"/>
  <c r="P40" i="1"/>
  <c r="AF140" i="1"/>
  <c r="AH170" i="1"/>
  <c r="AL190" i="1"/>
  <c r="AF205" i="1"/>
  <c r="V222" i="1"/>
  <c r="H238" i="1"/>
  <c r="H251" i="1"/>
  <c r="V40" i="1"/>
  <c r="AF133" i="1"/>
  <c r="AA166" i="1"/>
  <c r="AF187" i="1"/>
  <c r="K203" i="1"/>
  <c r="H217" i="1"/>
  <c r="P230" i="1"/>
  <c r="P243" i="1"/>
  <c r="J256" i="1"/>
  <c r="W40" i="1"/>
  <c r="AB128" i="1"/>
  <c r="AE157" i="1"/>
  <c r="M180" i="1"/>
  <c r="P194" i="1"/>
  <c r="AI208" i="1"/>
  <c r="R225" i="1"/>
  <c r="AI240" i="1"/>
  <c r="AF253" i="1"/>
  <c r="AC40" i="1"/>
  <c r="AD135" i="1"/>
  <c r="AL166" i="1"/>
  <c r="AB184" i="1"/>
  <c r="O203" i="1"/>
  <c r="AL219" i="1"/>
  <c r="L233" i="1"/>
  <c r="AK248" i="1"/>
  <c r="AF31" i="1"/>
  <c r="O70" i="1"/>
  <c r="AJ94" i="1"/>
  <c r="AA110" i="1"/>
  <c r="S123" i="1"/>
  <c r="AG135" i="1"/>
  <c r="AH146" i="1"/>
  <c r="U158" i="1"/>
  <c r="Q168" i="1"/>
  <c r="AG176" i="1"/>
  <c r="AC184" i="1"/>
  <c r="AC191" i="1"/>
  <c r="AB200" i="1"/>
  <c r="N206" i="1"/>
  <c r="Y211" i="1"/>
  <c r="O217" i="1"/>
  <c r="AA222" i="1"/>
  <c r="AG227" i="1"/>
  <c r="AA235" i="1"/>
  <c r="T243" i="1"/>
  <c r="R251" i="1"/>
  <c r="N256" i="1"/>
  <c r="J32" i="1"/>
  <c r="H80" i="1"/>
  <c r="V104" i="1"/>
  <c r="T117" i="1"/>
  <c r="AB130" i="1"/>
  <c r="U141" i="1"/>
  <c r="X158" i="1"/>
  <c r="W172" i="1"/>
  <c r="AD184" i="1"/>
  <c r="AE191" i="1"/>
  <c r="AC197" i="1"/>
  <c r="O206" i="1"/>
  <c r="Z211" i="1"/>
  <c r="X217" i="1"/>
  <c r="U225" i="1"/>
  <c r="AA230" i="1"/>
  <c r="T238" i="1"/>
  <c r="Z243" i="1"/>
  <c r="U251" i="1"/>
  <c r="AC258" i="1"/>
  <c r="AK22" i="1"/>
  <c r="K63" i="1"/>
  <c r="I80" i="1"/>
  <c r="M95" i="1"/>
  <c r="V111" i="1"/>
  <c r="AC130" i="1"/>
  <c r="AF148" i="1"/>
  <c r="AI163" i="1"/>
  <c r="AJ176" i="1"/>
  <c r="AA192" i="1"/>
  <c r="X201" i="1"/>
  <c r="AL209" i="1"/>
  <c r="R215" i="1"/>
  <c r="Y223" i="1"/>
  <c r="Z228" i="1"/>
  <c r="AJ233" i="1"/>
  <c r="AJ241" i="1"/>
  <c r="AJ246" i="1"/>
  <c r="L252" i="1"/>
  <c r="Z259" i="1"/>
  <c r="Q35" i="1"/>
  <c r="L63" i="1"/>
  <c r="R81" i="1"/>
  <c r="O88" i="1"/>
  <c r="I105" i="1"/>
  <c r="AK117" i="1"/>
  <c r="Y136" i="1"/>
  <c r="Q154" i="1"/>
  <c r="V168" i="1"/>
  <c r="Y181" i="1"/>
  <c r="AD192" i="1"/>
  <c r="Y201" i="1"/>
  <c r="J207" i="1"/>
  <c r="T215" i="1"/>
  <c r="AH220" i="1"/>
  <c r="M226" i="1"/>
  <c r="M234" i="1"/>
  <c r="H242" i="1"/>
  <c r="AF249" i="1"/>
  <c r="AG254" i="1"/>
  <c r="T35" i="1"/>
  <c r="L65" i="1"/>
  <c r="S81" i="1"/>
  <c r="J98" i="1"/>
  <c r="AA119" i="1"/>
  <c r="AA136" i="1"/>
  <c r="T154" i="1"/>
  <c r="W168" i="1"/>
  <c r="AF181" i="1"/>
  <c r="AE192" i="1"/>
  <c r="AE201" i="1"/>
  <c r="L207" i="1"/>
  <c r="AB212" i="1"/>
  <c r="AI220" i="1"/>
  <c r="O226" i="1"/>
  <c r="N234" i="1"/>
  <c r="I242" i="1"/>
  <c r="AG249" i="1"/>
  <c r="AJ254" i="1"/>
  <c r="P26" i="1"/>
  <c r="AH65" i="1"/>
  <c r="V81" i="1"/>
  <c r="L98" i="1"/>
  <c r="Q112" i="1"/>
  <c r="Q131" i="1"/>
  <c r="AI148" i="1"/>
  <c r="AA164" i="1"/>
  <c r="Q178" i="1"/>
  <c r="AF192" i="1"/>
  <c r="AI198" i="1"/>
  <c r="M207" i="1"/>
  <c r="AC212" i="1"/>
  <c r="AJ220" i="1"/>
  <c r="AH16" i="1"/>
  <c r="AD26" i="1"/>
  <c r="AB36" i="1"/>
  <c r="AH48" i="1"/>
  <c r="X57" i="1"/>
  <c r="H66" i="1"/>
  <c r="T74" i="1"/>
  <c r="Q84" i="1"/>
  <c r="AJ91" i="1"/>
  <c r="AB98" i="1"/>
  <c r="V107" i="1"/>
  <c r="Y114" i="1"/>
  <c r="X120" i="1"/>
  <c r="AG125" i="1"/>
  <c r="R133" i="1"/>
  <c r="AF138" i="1"/>
  <c r="T144" i="1"/>
  <c r="AE150" i="1"/>
  <c r="K156" i="1"/>
  <c r="Y160" i="1"/>
  <c r="AD164" i="1"/>
  <c r="K170" i="1"/>
  <c r="AB174" i="1"/>
  <c r="T178" i="1"/>
  <c r="N183" i="1"/>
  <c r="O186" i="1"/>
  <c r="AD189" i="1"/>
  <c r="K193" i="1"/>
  <c r="N196" i="1"/>
  <c r="AJ201" i="1"/>
  <c r="AC204" i="1"/>
  <c r="W207" i="1"/>
  <c r="P210" i="1"/>
  <c r="AF215" i="1"/>
  <c r="U221" i="1"/>
  <c r="N229" i="1"/>
  <c r="Z239" i="1"/>
  <c r="I255" i="1"/>
  <c r="AE26" i="1"/>
  <c r="AC36" i="1"/>
  <c r="Q49" i="1"/>
  <c r="AL58" i="1"/>
  <c r="I66" i="1"/>
  <c r="R76" i="1"/>
  <c r="S84" i="1"/>
  <c r="N92" i="1"/>
  <c r="AD98" i="1"/>
  <c r="AD114" i="1"/>
  <c r="AC120" i="1"/>
  <c r="AA127" i="1"/>
  <c r="AH138" i="1"/>
  <c r="W144" i="1"/>
  <c r="M156" i="1"/>
  <c r="AE160" i="1"/>
  <c r="L170" i="1"/>
  <c r="U178" i="1"/>
  <c r="AC186" i="1"/>
  <c r="L193" i="1"/>
  <c r="H199" i="1"/>
  <c r="AJ204" i="1"/>
  <c r="X207" i="1"/>
  <c r="P213" i="1"/>
  <c r="AG218" i="1"/>
  <c r="V221" i="1"/>
  <c r="AB226" i="1"/>
  <c r="AH231" i="1"/>
  <c r="O237" i="1"/>
  <c r="U242" i="1"/>
  <c r="H245" i="1"/>
  <c r="N250" i="1"/>
  <c r="AE252" i="1"/>
  <c r="AE257" i="1"/>
  <c r="K260" i="1"/>
  <c r="AD260" i="1"/>
  <c r="AL17" i="1"/>
  <c r="T49" i="1"/>
  <c r="J59" i="1"/>
  <c r="J77" i="1"/>
  <c r="T92" i="1"/>
  <c r="M108" i="1"/>
  <c r="AC122" i="1"/>
  <c r="U133" i="1"/>
  <c r="W146" i="1"/>
  <c r="K162" i="1"/>
  <c r="P166" i="1"/>
  <c r="AE174" i="1"/>
  <c r="Q183" i="1"/>
  <c r="K194" i="1"/>
  <c r="R197" i="1"/>
  <c r="AF202" i="1"/>
  <c r="Q211" i="1"/>
  <c r="AA216" i="1"/>
  <c r="AC219" i="1"/>
  <c r="AI224" i="1"/>
  <c r="AB232" i="1"/>
  <c r="AL237" i="1"/>
  <c r="AL245" i="1"/>
  <c r="AK250" i="1"/>
  <c r="H256" i="1"/>
  <c r="K18" i="1"/>
  <c r="Q50" i="1"/>
  <c r="M59" i="1"/>
  <c r="L77" i="1"/>
  <c r="AC94" i="1"/>
  <c r="N108" i="1"/>
  <c r="AD122" i="1"/>
  <c r="AE133" i="1"/>
  <c r="AI151" i="1"/>
  <c r="W156" i="1"/>
  <c r="T166" i="1"/>
  <c r="AH179" i="1"/>
  <c r="R183" i="1"/>
  <c r="L194" i="1"/>
  <c r="J200" i="1"/>
  <c r="S208" i="1"/>
  <c r="S214" i="1"/>
  <c r="AI216" i="1"/>
  <c r="AJ224" i="1"/>
  <c r="O230" i="1"/>
  <c r="U235" i="1"/>
  <c r="N243" i="1"/>
  <c r="U248" i="1"/>
  <c r="I256" i="1"/>
  <c r="X258" i="1"/>
  <c r="L18" i="1"/>
  <c r="AK61" i="1"/>
  <c r="AA84" i="1"/>
  <c r="AL101" i="1"/>
  <c r="AG116" i="1"/>
  <c r="V128" i="1"/>
  <c r="AI140" i="1"/>
  <c r="L152" i="1"/>
  <c r="AD157" i="1"/>
  <c r="AI170" i="1"/>
  <c r="L180" i="1"/>
  <c r="H191" i="1"/>
  <c r="U197" i="1"/>
  <c r="AJ205" i="1"/>
  <c r="V211" i="1"/>
  <c r="AE219" i="1"/>
  <c r="AK224" i="1"/>
  <c r="AD232" i="1"/>
  <c r="I238" i="1"/>
  <c r="I246" i="1"/>
  <c r="I251" i="1"/>
  <c r="Y258" i="1"/>
  <c r="S31" i="1"/>
  <c r="AL61" i="1"/>
  <c r="O77" i="1"/>
  <c r="AG94" i="1"/>
  <c r="AE108" i="1"/>
  <c r="P123" i="1"/>
  <c r="AL140" i="1"/>
  <c r="M152" i="1"/>
  <c r="AD166" i="1"/>
  <c r="Q172" i="1"/>
  <c r="W183" i="1"/>
  <c r="Q191" i="1"/>
  <c r="Z200" i="1"/>
  <c r="L203" i="1"/>
  <c r="W211" i="1"/>
  <c r="M217" i="1"/>
  <c r="X222" i="1"/>
  <c r="Q230" i="1"/>
  <c r="K233" i="1"/>
  <c r="Q238" i="1"/>
  <c r="J246" i="1"/>
  <c r="P251" i="1"/>
  <c r="Z258" i="1"/>
  <c r="AL260" i="1"/>
  <c r="AE31" i="1"/>
  <c r="AD53" i="1"/>
  <c r="N70" i="1"/>
  <c r="R87" i="1"/>
  <c r="AD102" i="1"/>
  <c r="N117" i="1"/>
  <c r="R123" i="1"/>
  <c r="S141" i="1"/>
  <c r="Y153" i="1"/>
  <c r="AF157" i="1"/>
  <c r="T172" i="1"/>
  <c r="N180" i="1"/>
  <c r="K188" i="1"/>
  <c r="X194" i="1"/>
  <c r="AA200" i="1"/>
  <c r="AJ208" i="1"/>
  <c r="X211" i="1"/>
  <c r="N217" i="1"/>
  <c r="S225" i="1"/>
  <c r="S230" i="1"/>
  <c r="R238" i="1"/>
  <c r="AJ240" i="1"/>
  <c r="K246" i="1"/>
  <c r="AG253" i="1"/>
  <c r="AA258" i="1"/>
  <c r="AB22" i="1"/>
  <c r="AE40" i="1"/>
  <c r="AJ53" i="1"/>
  <c r="O62" i="1"/>
  <c r="AL79" i="1"/>
  <c r="X87" i="1"/>
  <c r="AE102" i="1"/>
  <c r="R117" i="1"/>
  <c r="AA130" i="1"/>
  <c r="T141" i="1"/>
  <c r="Z153" i="1"/>
  <c r="V162" i="1"/>
  <c r="V172" i="1"/>
  <c r="O180" i="1"/>
  <c r="L188" i="1"/>
  <c r="Y194" i="1"/>
  <c r="P203" i="1"/>
  <c r="AK208" i="1"/>
  <c r="W214" i="1"/>
  <c r="I220" i="1"/>
  <c r="T225" i="1"/>
  <c r="T230" i="1"/>
  <c r="M233" i="1"/>
  <c r="S238" i="1"/>
  <c r="AK240" i="1"/>
  <c r="AL248" i="1"/>
  <c r="AH253" i="1"/>
  <c r="AB258" i="1"/>
  <c r="AC22" i="1"/>
  <c r="AK53" i="1"/>
  <c r="Q62" i="1"/>
  <c r="U70" i="1"/>
  <c r="M88" i="1"/>
  <c r="J95" i="1"/>
  <c r="L111" i="1"/>
  <c r="T123" i="1"/>
  <c r="W136" i="1"/>
  <c r="K154" i="1"/>
  <c r="W162" i="1"/>
  <c r="R168" i="1"/>
  <c r="AI176" i="1"/>
  <c r="O188" i="1"/>
  <c r="AC194" i="1"/>
  <c r="AC200" i="1"/>
  <c r="AL208" i="1"/>
  <c r="Y214" i="1"/>
  <c r="AB222" i="1"/>
  <c r="AI227" i="1"/>
  <c r="N233" i="1"/>
  <c r="O241" i="1"/>
  <c r="O246" i="1"/>
  <c r="I249" i="1"/>
  <c r="P256" i="1"/>
  <c r="Q32" i="1"/>
  <c r="L54" i="1"/>
  <c r="J73" i="1"/>
  <c r="N88" i="1"/>
  <c r="AL104" i="1"/>
  <c r="U117" i="1"/>
  <c r="M125" i="1"/>
  <c r="V141" i="1"/>
  <c r="M154" i="1"/>
  <c r="AB158" i="1"/>
  <c r="Z172" i="1"/>
  <c r="S181" i="1"/>
  <c r="AE184" i="1"/>
  <c r="W195" i="1"/>
  <c r="AE198" i="1"/>
  <c r="I207" i="1"/>
  <c r="Z212" i="1"/>
  <c r="P218" i="1"/>
  <c r="L226" i="1"/>
  <c r="R231" i="1"/>
  <c r="Y236" i="1"/>
  <c r="R244" i="1"/>
  <c r="AE249" i="1"/>
  <c r="AK256" i="1"/>
  <c r="AL22" i="1"/>
  <c r="R54" i="1"/>
  <c r="K73" i="1"/>
  <c r="X97" i="1"/>
  <c r="AC111" i="1"/>
  <c r="N125" i="1"/>
  <c r="AD130" i="1"/>
  <c r="AG148" i="1"/>
  <c r="AJ158" i="1"/>
  <c r="AJ163" i="1"/>
  <c r="AH172" i="1"/>
  <c r="AF184" i="1"/>
  <c r="S188" i="1"/>
  <c r="AA195" i="1"/>
  <c r="R204" i="1"/>
  <c r="H210" i="1"/>
  <c r="Q218" i="1"/>
  <c r="Z223" i="1"/>
  <c r="T231" i="1"/>
  <c r="Z236" i="1"/>
  <c r="M239" i="1"/>
  <c r="N247" i="1"/>
  <c r="O252" i="1"/>
  <c r="L257" i="1"/>
  <c r="L23" i="1"/>
  <c r="S54" i="1"/>
  <c r="M73" i="1"/>
  <c r="R88" i="1"/>
  <c r="J105" i="1"/>
  <c r="P112" i="1"/>
  <c r="P125" i="1"/>
  <c r="P131" i="1"/>
  <c r="AH148" i="1"/>
  <c r="I160" i="1"/>
  <c r="AK163" i="1"/>
  <c r="AI172" i="1"/>
  <c r="AG184" i="1"/>
  <c r="X189" i="1"/>
  <c r="AB195" i="1"/>
  <c r="S204" i="1"/>
  <c r="I210" i="1"/>
  <c r="R218" i="1"/>
  <c r="AB223" i="1"/>
  <c r="AH228" i="1"/>
  <c r="AB236" i="1"/>
  <c r="O239" i="1"/>
  <c r="U244" i="1"/>
  <c r="U252" i="1"/>
  <c r="N257" i="1"/>
  <c r="W35" i="1"/>
  <c r="W54" i="1"/>
  <c r="N73" i="1"/>
  <c r="AD90" i="1"/>
  <c r="M105" i="1"/>
  <c r="AB119" i="1"/>
  <c r="S125" i="1"/>
  <c r="Z143" i="1"/>
  <c r="U154" i="1"/>
  <c r="J160" i="1"/>
  <c r="V174" i="1"/>
  <c r="AI181" i="1"/>
  <c r="AA189" i="1"/>
  <c r="AK195" i="1"/>
  <c r="T204" i="1"/>
  <c r="J210" i="1"/>
  <c r="AB215" i="1"/>
  <c r="AC223" i="1"/>
  <c r="AG17" i="1"/>
  <c r="AF26" i="1"/>
  <c r="AL39" i="1"/>
  <c r="S49" i="1"/>
  <c r="I59" i="1"/>
  <c r="N66" i="1"/>
  <c r="S76" i="1"/>
  <c r="U84" i="1"/>
  <c r="O92" i="1"/>
  <c r="AA100" i="1"/>
  <c r="L108" i="1"/>
  <c r="AE114" i="1"/>
  <c r="O121" i="1"/>
  <c r="AC127" i="1"/>
  <c r="T133" i="1"/>
  <c r="AI138" i="1"/>
  <c r="AK145" i="1"/>
  <c r="T151" i="1"/>
  <c r="N156" i="1"/>
  <c r="AF160" i="1"/>
  <c r="O166" i="1"/>
  <c r="AF170" i="1"/>
  <c r="AD174" i="1"/>
  <c r="AB179" i="1"/>
  <c r="P183" i="1"/>
  <c r="AD186" i="1"/>
  <c r="AF189" i="1"/>
  <c r="J194" i="1"/>
  <c r="P197" i="1"/>
  <c r="H200" i="1"/>
  <c r="AE202" i="1"/>
  <c r="AC205" i="1"/>
  <c r="Q208" i="1"/>
  <c r="P211" i="1"/>
  <c r="H214" i="1"/>
  <c r="Z216" i="1"/>
  <c r="Y219" i="1"/>
  <c r="T222" i="1"/>
  <c r="AF224" i="1"/>
  <c r="U227" i="1"/>
  <c r="M230" i="1"/>
  <c r="AA232" i="1"/>
  <c r="S235" i="1"/>
  <c r="AK237" i="1"/>
  <c r="T240" i="1"/>
  <c r="L243" i="1"/>
  <c r="AD245" i="1"/>
  <c r="R248" i="1"/>
  <c r="AJ250" i="1"/>
  <c r="R253" i="1"/>
  <c r="AL255" i="1"/>
  <c r="J258" i="1"/>
  <c r="O40" i="1"/>
  <c r="Y68" i="1"/>
  <c r="X84" i="1"/>
  <c r="O101" i="1"/>
  <c r="AF114" i="1"/>
  <c r="AD127" i="1"/>
  <c r="S139" i="1"/>
  <c r="O156" i="1"/>
  <c r="AG170" i="1"/>
  <c r="AC179" i="1"/>
  <c r="AK190" i="1"/>
  <c r="I200" i="1"/>
  <c r="AE205" i="1"/>
  <c r="L214" i="1"/>
  <c r="U222" i="1"/>
  <c r="N230" i="1"/>
  <c r="T235" i="1"/>
  <c r="U240" i="1"/>
  <c r="S248" i="1"/>
  <c r="AC253" i="1"/>
  <c r="AE260" i="1"/>
  <c r="K30" i="1"/>
  <c r="AE68" i="1"/>
  <c r="Y84" i="1"/>
  <c r="S101" i="1"/>
  <c r="AG114" i="1"/>
  <c r="U128" i="1"/>
  <c r="X146" i="1"/>
  <c r="L162" i="1"/>
  <c r="H176" i="1"/>
  <c r="AG186" i="1"/>
  <c r="T197" i="1"/>
  <c r="I203" i="1"/>
  <c r="S211" i="1"/>
  <c r="AD219" i="1"/>
  <c r="AB227" i="1"/>
  <c r="AC232" i="1"/>
  <c r="AA240" i="1"/>
  <c r="H246" i="1"/>
  <c r="AD253" i="1"/>
  <c r="AJ260" i="1"/>
  <c r="V30" i="1"/>
  <c r="V50" i="1"/>
  <c r="I69" i="1"/>
  <c r="N77" i="1"/>
  <c r="AF94" i="1"/>
  <c r="V108" i="1"/>
  <c r="AF122" i="1"/>
  <c r="AB146" i="1"/>
  <c r="P162" i="1"/>
  <c r="I176" i="1"/>
  <c r="U183" i="1"/>
  <c r="M194" i="1"/>
  <c r="K200" i="1"/>
  <c r="T208" i="1"/>
  <c r="T214" i="1"/>
  <c r="W222" i="1"/>
  <c r="AC227" i="1"/>
  <c r="V235" i="1"/>
  <c r="AC240" i="1"/>
  <c r="V248" i="1"/>
  <c r="AE253" i="1"/>
  <c r="AK260" i="1"/>
  <c r="R21" i="1"/>
  <c r="AD50" i="1"/>
  <c r="K70" i="1"/>
  <c r="Q87" i="1"/>
  <c r="AA102" i="1"/>
  <c r="AH116" i="1"/>
  <c r="AB135" i="1"/>
  <c r="AC146" i="1"/>
  <c r="S162" i="1"/>
  <c r="K176" i="1"/>
  <c r="AL187" i="1"/>
  <c r="X197" i="1"/>
  <c r="AK205" i="1"/>
  <c r="U214" i="1"/>
  <c r="AF219" i="1"/>
  <c r="AD227" i="1"/>
  <c r="X235" i="1"/>
  <c r="Q243" i="1"/>
  <c r="AB248" i="1"/>
  <c r="K256" i="1"/>
  <c r="Y21" i="1"/>
  <c r="M62" i="1"/>
  <c r="Q77" i="1"/>
  <c r="AH94" i="1"/>
  <c r="Z110" i="1"/>
  <c r="AG128" i="1"/>
  <c r="AD146" i="1"/>
  <c r="U162" i="1"/>
  <c r="AF176" i="1"/>
  <c r="Z191" i="1"/>
  <c r="AA197" i="1"/>
  <c r="M206" i="1"/>
  <c r="V214" i="1"/>
  <c r="Y222" i="1"/>
  <c r="AF227" i="1"/>
  <c r="Y235" i="1"/>
  <c r="S243" i="1"/>
  <c r="Q251" i="1"/>
  <c r="M256" i="1"/>
  <c r="AB197" i="1"/>
  <c r="L246" i="1"/>
  <c r="AG43" i="1"/>
  <c r="AE148" i="1"/>
  <c r="P181" i="1"/>
  <c r="Q203" i="1"/>
  <c r="J220" i="1"/>
  <c r="AB235" i="1"/>
  <c r="AK253" i="1"/>
  <c r="AH43" i="1"/>
  <c r="X136" i="1"/>
  <c r="S168" i="1"/>
  <c r="P188" i="1"/>
  <c r="Q204" i="1"/>
  <c r="AG220" i="1"/>
  <c r="L239" i="1"/>
  <c r="Y254" i="1"/>
  <c r="R44" i="1"/>
  <c r="AH142" i="1"/>
  <c r="M178" i="1"/>
  <c r="AF198" i="1"/>
  <c r="AA212" i="1"/>
  <c r="AA228" i="1"/>
  <c r="T244" i="1"/>
  <c r="AA259" i="1"/>
  <c r="Y45" i="1"/>
  <c r="Y143" i="1"/>
  <c r="P178" i="1"/>
  <c r="AG198" i="1"/>
  <c r="Z215" i="1"/>
  <c r="U231" i="1"/>
  <c r="O247" i="1"/>
  <c r="AB259" i="1"/>
  <c r="AD45" i="1"/>
  <c r="Z138" i="1"/>
  <c r="X168" i="1"/>
  <c r="AH184" i="1"/>
  <c r="AF201" i="1"/>
  <c r="T218" i="1"/>
  <c r="AB26" i="1"/>
  <c r="T149" i="1"/>
  <c r="L210" i="1"/>
  <c r="W239" i="1"/>
  <c r="AC259" i="1"/>
  <c r="U36" i="1"/>
  <c r="AK155" i="1"/>
  <c r="K213" i="1"/>
  <c r="X239" i="1"/>
  <c r="AD259" i="1"/>
  <c r="AE45" i="1"/>
  <c r="K160" i="1"/>
  <c r="AC215" i="1"/>
  <c r="J242" i="1"/>
  <c r="U57" i="1"/>
  <c r="AB164" i="1"/>
  <c r="U218" i="1"/>
  <c r="K242" i="1"/>
  <c r="AK65" i="1"/>
  <c r="AA168" i="1"/>
  <c r="Q221" i="1"/>
  <c r="X244" i="1"/>
  <c r="S73" i="1"/>
  <c r="W174" i="1"/>
  <c r="AE223" i="1"/>
  <c r="AJ244" i="1"/>
  <c r="R178" i="1"/>
  <c r="P226" i="1"/>
  <c r="P247" i="1"/>
  <c r="AE90" i="1"/>
  <c r="W226" i="1"/>
  <c r="J186" i="1"/>
  <c r="AH249" i="1"/>
  <c r="AB189" i="1"/>
  <c r="K250" i="1"/>
  <c r="AG192" i="1"/>
  <c r="V252" i="1"/>
  <c r="K196" i="1"/>
  <c r="AB252" i="1"/>
  <c r="AJ198" i="1"/>
  <c r="AK254" i="1"/>
  <c r="AG201" i="1"/>
  <c r="AL254" i="1"/>
  <c r="Z204" i="1"/>
  <c r="AC236" i="1"/>
  <c r="N207" i="1"/>
  <c r="Q257" i="1"/>
  <c r="AB81" i="1"/>
  <c r="AK181" i="1"/>
  <c r="Q247" i="1"/>
  <c r="M98" i="1"/>
  <c r="AJ228" i="1"/>
  <c r="O105" i="1"/>
  <c r="L229" i="1"/>
  <c r="AL113" i="1"/>
  <c r="W231" i="1"/>
  <c r="AC119" i="1"/>
  <c r="X231" i="1"/>
  <c r="AD125" i="1"/>
  <c r="Q234" i="1"/>
  <c r="T131" i="1"/>
  <c r="R234" i="1"/>
  <c r="AD138" i="1"/>
  <c r="O257" i="1"/>
  <c r="AK143" i="1"/>
  <c r="K237" i="1"/>
  <c r="B37" i="1"/>
  <c r="B45" i="1"/>
  <c r="B53" i="1"/>
  <c r="B61" i="1"/>
  <c r="B69" i="1"/>
  <c r="C37" i="1"/>
  <c r="C45" i="1"/>
  <c r="C53" i="1"/>
  <c r="C61" i="1"/>
  <c r="C69" i="1"/>
  <c r="B38" i="1"/>
  <c r="B46" i="1"/>
  <c r="B54" i="1"/>
  <c r="B62" i="1"/>
  <c r="B70" i="1"/>
  <c r="B39" i="1"/>
  <c r="B47" i="1"/>
  <c r="B55" i="1"/>
  <c r="B63" i="1"/>
  <c r="B71" i="1"/>
  <c r="B43" i="1"/>
  <c r="C54" i="1"/>
  <c r="B65" i="1"/>
  <c r="B75" i="1"/>
  <c r="C43" i="1"/>
  <c r="C55" i="1"/>
  <c r="C65" i="1"/>
  <c r="C75" i="1"/>
  <c r="B44" i="1"/>
  <c r="B56" i="1"/>
  <c r="B66" i="1"/>
  <c r="C44" i="1"/>
  <c r="C56" i="1"/>
  <c r="C66" i="1"/>
  <c r="C36" i="1"/>
  <c r="C48" i="1"/>
  <c r="C58" i="1"/>
  <c r="C68" i="1"/>
  <c r="C42" i="1"/>
  <c r="C59" i="1"/>
  <c r="B74" i="1"/>
  <c r="C46" i="1"/>
  <c r="B60" i="1"/>
  <c r="C74" i="1"/>
  <c r="C47" i="1"/>
  <c r="C60" i="1"/>
  <c r="B48" i="1"/>
  <c r="C62" i="1"/>
  <c r="C35" i="1"/>
  <c r="C50" i="1"/>
  <c r="B67" i="1"/>
  <c r="C49" i="1"/>
  <c r="C71" i="1"/>
  <c r="B50" i="1"/>
  <c r="B72" i="1"/>
  <c r="B51" i="1"/>
  <c r="C72" i="1"/>
  <c r="C51" i="1"/>
  <c r="B73" i="1"/>
  <c r="B36" i="1"/>
  <c r="C57" i="1"/>
  <c r="C41" i="1"/>
  <c r="B42" i="1"/>
  <c r="B49" i="1"/>
  <c r="B52" i="1"/>
  <c r="B59" i="1"/>
  <c r="C40" i="1"/>
  <c r="B41" i="1"/>
  <c r="C52" i="1"/>
  <c r="B57" i="1"/>
  <c r="C64" i="1"/>
  <c r="B68" i="1"/>
  <c r="C70" i="1"/>
  <c r="C73" i="1"/>
  <c r="C67" i="1"/>
  <c r="B35" i="1"/>
  <c r="C38" i="1"/>
  <c r="C39" i="1"/>
  <c r="B40" i="1"/>
  <c r="C63" i="1"/>
  <c r="B58" i="1"/>
  <c r="B64" i="1"/>
  <c r="H10" i="2"/>
  <c r="J10" i="2"/>
  <c r="B5" i="1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31" i="2" a="1"/>
  <c r="I33" i="2" l="1"/>
  <c r="H34" i="2"/>
  <c r="I34" i="2"/>
  <c r="I35" i="2"/>
  <c r="I37" i="2"/>
  <c r="H38" i="2"/>
  <c r="I38" i="2"/>
  <c r="H31" i="2"/>
  <c r="I32" i="2"/>
  <c r="H33" i="2"/>
  <c r="H35" i="2"/>
  <c r="H36" i="2"/>
  <c r="I31" i="2"/>
  <c r="H32" i="2"/>
  <c r="H37" i="2"/>
  <c r="I36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<sst xmlns="http://schemas.openxmlformats.org/spreadsheetml/2006/main" count="19" uniqueCount="19">
  <si>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node_identifier</t>
  </si>
  <si>
    <t>algoseek_daily_ohlc_DEMO</t>
  </si>
  <si>
    <t>unique_indetifier_list</t>
  </si>
  <si>
    <t>start_date</t>
  </si>
  <si>
    <t>end_date</t>
  </si>
  <si>
    <t>BBG000BS7KS3</t>
  </si>
  <si>
    <t>BBG000BY29C7</t>
  </si>
  <si>
    <t xml:space="preserve">
</t>
  </si>
  <si>
    <t>curve_table_id</t>
  </si>
  <si>
    <t>discount_curves</t>
  </si>
  <si>
    <t>90_CBPF_48</t>
  </si>
  <si>
    <t>90_CDMXCB_19</t>
  </si>
  <si>
    <t>Get asset information</t>
  </si>
  <si>
    <t>Zero Curves</t>
  </si>
  <si>
    <t>date_start</t>
  </si>
  <si>
    <t>date_end</t>
  </si>
  <si>
    <t>Querying Assets</t>
  </si>
  <si>
    <t>Quering curves</t>
  </si>
  <si>
    <t xml:space="preserve">Decompressing curve.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</si>
</sst>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1"/>
    <xf numFmtId="164" fontId="1" fillId="2" borderId="1" xfId="1" applyNumberFormat="1"/>
    <xf numFmtId="0" fontId="2" fillId="0" borderId="0" xfId="0" applyFont="1"/>
    <xf numFmtId="164" fontId="0" fillId="0" borderId="0" xfId="0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AD8C-0881-43D2-8B06-DFBB5DEC5206}">
  <dimension ref="B3:AL260"/>
  <sheetViews>
    <sheetView tabSelected="1" workbookViewId="0">
      <selection activeCell="H12" sqref="H12"/>
    </sheetView>
  </sheetViews>
  <sheetFormatPr defaultRowHeight="14.4" x14ac:dyDescent="0.3"/>
  <cols>
    <col min="2" max="2" width="21.109375" customWidth="1"/>
    <col min="3" max="3" width="25.33203125" bestFit="1" customWidth="1"/>
    <col min="8" max="8" width="23.109375" bestFit="1" customWidth="1"/>
    <col min="9" max="9" width="11.33203125" customWidth="1"/>
    <col min="10" max="11" width="9" bestFit="1" customWidth="1"/>
    <col min="16" max="18" width="9" bestFit="1" customWidth="1"/>
    <col min="20" max="20" width="9" bestFit="1" customWidth="1"/>
    <col min="22" max="34" width="9" bestFit="1" customWidth="1"/>
    <col min="36" max="37" width="9" bestFit="1" customWidth="1"/>
    <col min="38" max="38" width="11" bestFit="1" customWidth="1"/>
  </cols>
  <sheetData>
    <row r="3" spans="2:38" x14ac:dyDescent="0.3">
      <c r="B3" t="str">
        <f>_xll.MS.SHOW_ENDPOINT()</f>
        <v>Backend: https://dev-tsorm.ngrok.app</v>
      </c>
    </row>
    <row r="4" spans="2:38" ht="28.8" x14ac:dyDescent="0.3">
      <c r="B4" s="1" t="s">
        <v>7</v>
      </c>
    </row>
    <row r="5" spans="2:38" x14ac:dyDescent="0.3">
      <c r="B5" t="str" cm="1">
        <f t="array" ref="B5">_xll.MS.MODULE_PATH()</f>
        <v>D:\Upwork\msms_xloil\uv_test\ms-excel-win\src\ms_excel_win\ms_excel_wrappers.py</v>
      </c>
    </row>
    <row r="8" spans="2:38" x14ac:dyDescent="0.3">
      <c r="B8" t="s">
        <v>0</v>
      </c>
      <c r="C8" s="2" t="s">
        <v>1</v>
      </c>
    </row>
    <row r="10" spans="2:38" x14ac:dyDescent="0.3">
      <c r="B10" t="s">
        <v>2</v>
      </c>
      <c r="C10" t="s">
        <v>3</v>
      </c>
      <c r="D10" t="s">
        <v>4</v>
      </c>
    </row>
    <row r="11" spans="2:38" x14ac:dyDescent="0.3">
      <c r="B11" s="2" t="s">
        <v>5</v>
      </c>
      <c r="C11" s="3">
        <f>DATE(2022,1,1)</f>
        <v>44562</v>
      </c>
      <c r="D11" s="3">
        <f>C11+365</f>
        <v>44927</v>
      </c>
    </row>
    <row r="12" spans="2:38" x14ac:dyDescent="0.3">
      <c r="B12" s="2" t="s">
        <v>6</v>
      </c>
      <c r="H12" t="str">
        <f t="array" ref="H12:AL260">_xll.MS.GET_DATA_NODE(C8,C11,D11,B11:B12)</f>
        <v>time_index</v>
      </c>
      <c r="I12" t="str">
        <v>unique_identifier</v>
      </c>
      <c r="J12" t="str">
        <v>secid</v>
      </c>
      <c r="K12" t="str">
        <v>tradedate</v>
      </c>
      <c r="L12" t="str">
        <v>ticker</v>
      </c>
      <c r="M12" t="str">
        <v>name</v>
      </c>
      <c r="N12" t="str">
        <v>primaryexchange</v>
      </c>
      <c r="O12" t="str">
        <v>isin</v>
      </c>
      <c r="P12" t="str">
        <v>open</v>
      </c>
      <c r="Q12" t="str">
        <v>opensize</v>
      </c>
      <c r="R12" t="str">
        <v>high</v>
      </c>
      <c r="S12" t="str">
        <v>hightime</v>
      </c>
      <c r="T12" t="str">
        <v>low</v>
      </c>
      <c r="U12" t="str">
        <v>lowtime</v>
      </c>
      <c r="V12" t="str">
        <v>close</v>
      </c>
      <c r="W12" t="str">
        <v>closesize</v>
      </c>
      <c r="X12" t="str">
        <v>listedmarkethoursvolume</v>
      </c>
      <c r="Y12" t="str">
        <v>listedmarkethourstrades</v>
      </c>
      <c r="Z12" t="str">
        <v>volume</v>
      </c>
      <c r="AA12" t="str">
        <v>listedtotaltrades</v>
      </c>
      <c r="AB12" t="str">
        <v>finramarkethoursvolume</v>
      </c>
      <c r="AC12" t="str">
        <v>finramarkethourstrades</v>
      </c>
      <c r="AD12" t="str">
        <v>finratotalvolume</v>
      </c>
      <c r="AE12" t="str">
        <v>finratotaltrades</v>
      </c>
      <c r="AF12" t="str">
        <v>cumulativepricefactor</v>
      </c>
      <c r="AG12" t="str">
        <v>cumulativevolumefactor</v>
      </c>
      <c r="AH12" t="str">
        <v>adjustmentfactor</v>
      </c>
      <c r="AI12" t="str">
        <v>adjustmentreason</v>
      </c>
      <c r="AJ12" t="str">
        <v>vwap</v>
      </c>
      <c r="AK12" t="str">
        <v>dailyvwap</v>
      </c>
      <c r="AL12" t="str">
        <v>open_time</v>
      </c>
    </row>
    <row r="13" spans="2:38" x14ac:dyDescent="0.3">
      <c r="H13" t="str">
        <v>2022-01-03T21:01:19.804Z</v>
      </c>
      <c r="I13" t="str">
        <v>BBG000BS7KS3</v>
      </c>
      <c r="J13">
        <v>32840</v>
      </c>
      <c r="K13">
        <v>20220103</v>
      </c>
      <c r="L13" t="str">
        <v>TAP</v>
      </c>
      <c r="M13" t="str">
        <v>Molson Coors Beverage Company</v>
      </c>
      <c r="N13" t="str">
        <v>NYSE</v>
      </c>
      <c r="O13" t="str">
        <v>US60871R2094</v>
      </c>
      <c r="P13">
        <v>46.54</v>
      </c>
      <c r="Q13">
        <v>11251</v>
      </c>
      <c r="R13">
        <v>47.38</v>
      </c>
      <c r="S13" t="str">
        <v>15:59:19.302702336</v>
      </c>
      <c r="T13">
        <v>46.47</v>
      </c>
      <c r="U13" t="str">
        <v>09:32:10.986299136</v>
      </c>
      <c r="V13">
        <v>47.35</v>
      </c>
      <c r="W13">
        <v>210986</v>
      </c>
      <c r="X13">
        <v>902104</v>
      </c>
      <c r="Y13">
        <v>10706</v>
      </c>
      <c r="Z13">
        <v>902350</v>
      </c>
      <c r="AA13">
        <v>10715</v>
      </c>
      <c r="AB13">
        <v>321182</v>
      </c>
      <c r="AC13">
        <v>3118</v>
      </c>
      <c r="AD13">
        <v>360440</v>
      </c>
      <c r="AE13">
        <v>3142</v>
      </c>
      <c r="AF13">
        <v>2.7743231332999998</v>
      </c>
      <c r="AG13">
        <v>2</v>
      </c>
      <c r="AH13" t="e">
        <v>#N/A</v>
      </c>
      <c r="AI13" t="str">
        <v>None</v>
      </c>
      <c r="AJ13">
        <v>47.14</v>
      </c>
      <c r="AK13">
        <v>47.14</v>
      </c>
      <c r="AL13">
        <v>1.6412202013731489E+18</v>
      </c>
    </row>
    <row r="14" spans="2:38" x14ac:dyDescent="0.3">
      <c r="H14" t="str">
        <v>2022-01-03T21:02:33.529Z</v>
      </c>
      <c r="I14" t="str">
        <v>BBG000BY29C7</v>
      </c>
      <c r="J14">
        <v>35035</v>
      </c>
      <c r="K14">
        <v>20220103</v>
      </c>
      <c r="L14" t="str">
        <v>TPR</v>
      </c>
      <c r="M14" t="str">
        <v>Tapestry Inc</v>
      </c>
      <c r="N14" t="str">
        <v>NYSE</v>
      </c>
      <c r="O14" t="str">
        <v>US8760301072</v>
      </c>
      <c r="P14">
        <v>41.01</v>
      </c>
      <c r="Q14">
        <v>17697</v>
      </c>
      <c r="R14">
        <v>41.77</v>
      </c>
      <c r="S14" t="str">
        <v>10:30:00.087058688</v>
      </c>
      <c r="T14">
        <v>40.700000000000003</v>
      </c>
      <c r="U14" t="str">
        <v>14:54:16.785907200</v>
      </c>
      <c r="V14">
        <v>40.81</v>
      </c>
      <c r="W14">
        <v>199520</v>
      </c>
      <c r="X14">
        <v>1424048</v>
      </c>
      <c r="Y14">
        <v>16763</v>
      </c>
      <c r="Z14">
        <v>1426115</v>
      </c>
      <c r="AA14">
        <v>16809</v>
      </c>
      <c r="AB14">
        <v>811264</v>
      </c>
      <c r="AC14">
        <v>5335</v>
      </c>
      <c r="AD14">
        <v>841665</v>
      </c>
      <c r="AE14">
        <v>5359</v>
      </c>
      <c r="AF14">
        <v>1.3818906580999999</v>
      </c>
      <c r="AG14">
        <v>1</v>
      </c>
      <c r="AH14" t="e">
        <v>#N/A</v>
      </c>
      <c r="AI14" t="str">
        <v>None</v>
      </c>
      <c r="AJ14">
        <v>41.06</v>
      </c>
      <c r="AK14">
        <v>41.05</v>
      </c>
      <c r="AL14">
        <v>1.6412202009238902E+18</v>
      </c>
    </row>
    <row r="15" spans="2:38" x14ac:dyDescent="0.3">
      <c r="H15" t="str">
        <v>2022-01-04T21:02:10.756Z</v>
      </c>
      <c r="I15" t="str">
        <v>BBG000BS7KS3</v>
      </c>
      <c r="J15">
        <v>32840</v>
      </c>
      <c r="K15">
        <v>20220104</v>
      </c>
      <c r="L15" t="str">
        <v>TAP</v>
      </c>
      <c r="M15" t="str">
        <v>Molson Coors Beverage Company</v>
      </c>
      <c r="N15" t="str">
        <v>NYSE</v>
      </c>
      <c r="O15" t="str">
        <v>US60871R2094</v>
      </c>
      <c r="P15">
        <v>47.86</v>
      </c>
      <c r="Q15">
        <v>15999</v>
      </c>
      <c r="R15">
        <v>49.17</v>
      </c>
      <c r="S15" t="str">
        <v>14:49:30.844227328</v>
      </c>
      <c r="T15">
        <v>47.6</v>
      </c>
      <c r="U15" t="str">
        <v>09:30:15.951995648</v>
      </c>
      <c r="V15">
        <v>48.9</v>
      </c>
      <c r="W15">
        <v>268921</v>
      </c>
      <c r="X15">
        <v>1422314</v>
      </c>
      <c r="Y15">
        <v>18400</v>
      </c>
      <c r="Z15">
        <v>1423196</v>
      </c>
      <c r="AA15">
        <v>18438</v>
      </c>
      <c r="AB15">
        <v>426531</v>
      </c>
      <c r="AC15">
        <v>4820</v>
      </c>
      <c r="AD15">
        <v>459371</v>
      </c>
      <c r="AE15">
        <v>4859</v>
      </c>
      <c r="AF15">
        <v>2.7743231332999998</v>
      </c>
      <c r="AG15">
        <v>2</v>
      </c>
      <c r="AH15" t="e">
        <v>#N/A</v>
      </c>
      <c r="AI15" t="str">
        <v>None</v>
      </c>
      <c r="AJ15">
        <v>48.78</v>
      </c>
      <c r="AK15">
        <v>48.78</v>
      </c>
      <c r="AL15">
        <v>1.6413066010601411E+18</v>
      </c>
    </row>
    <row r="16" spans="2:38" x14ac:dyDescent="0.3">
      <c r="H16" t="str">
        <v>2022-01-04T21:03:33.344Z</v>
      </c>
      <c r="I16" t="str">
        <v>BBG000BY29C7</v>
      </c>
      <c r="J16">
        <v>35035</v>
      </c>
      <c r="K16">
        <v>20220104</v>
      </c>
      <c r="L16" t="str">
        <v>TPR</v>
      </c>
      <c r="M16" t="str">
        <v>Tapestry Inc</v>
      </c>
      <c r="N16" t="str">
        <v>NYSE</v>
      </c>
      <c r="O16" t="str">
        <v>US8760301072</v>
      </c>
      <c r="P16">
        <v>41.42</v>
      </c>
      <c r="Q16">
        <v>30217</v>
      </c>
      <c r="R16">
        <v>42.24</v>
      </c>
      <c r="S16" t="str">
        <v>12:56:04.057269248</v>
      </c>
      <c r="T16">
        <v>41.22</v>
      </c>
      <c r="U16" t="str">
        <v>11:03:56.255156736</v>
      </c>
      <c r="V16">
        <v>41.65</v>
      </c>
      <c r="W16">
        <v>175281</v>
      </c>
      <c r="X16">
        <v>1582842</v>
      </c>
      <c r="Y16">
        <v>19466</v>
      </c>
      <c r="Z16">
        <v>1585559</v>
      </c>
      <c r="AA16">
        <v>19500</v>
      </c>
      <c r="AB16">
        <v>632669</v>
      </c>
      <c r="AC16">
        <v>7035</v>
      </c>
      <c r="AD16">
        <v>668541</v>
      </c>
      <c r="AE16">
        <v>7081</v>
      </c>
      <c r="AF16">
        <v>1.3818906580999999</v>
      </c>
      <c r="AG16">
        <v>1</v>
      </c>
      <c r="AH16" t="e">
        <v>#N/A</v>
      </c>
      <c r="AI16" t="str">
        <v>None</v>
      </c>
      <c r="AJ16">
        <v>41.7</v>
      </c>
      <c r="AK16">
        <v>41.7</v>
      </c>
      <c r="AL16">
        <v>1.6413066009083397E+18</v>
      </c>
    </row>
    <row r="17" spans="2:38" x14ac:dyDescent="0.3">
      <c r="B17" t="s">
        <v>12</v>
      </c>
      <c r="H17" t="str">
        <v>2022-01-05T21:02:15.933Z</v>
      </c>
      <c r="I17" t="str">
        <v>BBG000BS7KS3</v>
      </c>
      <c r="J17">
        <v>32840</v>
      </c>
      <c r="K17">
        <v>20220105</v>
      </c>
      <c r="L17" t="str">
        <v>TAP</v>
      </c>
      <c r="M17" t="str">
        <v>Molson Coors Beverage Company</v>
      </c>
      <c r="N17" t="str">
        <v>NYSE</v>
      </c>
      <c r="O17" t="str">
        <v>US60871R2094</v>
      </c>
      <c r="P17">
        <v>49.08</v>
      </c>
      <c r="Q17">
        <v>22261</v>
      </c>
      <c r="R17">
        <v>50.03</v>
      </c>
      <c r="S17" t="str">
        <v>12:25:04.716044800</v>
      </c>
      <c r="T17">
        <v>49.1</v>
      </c>
      <c r="U17" t="str">
        <v>10:03:23.151873024</v>
      </c>
      <c r="V17">
        <v>49.41</v>
      </c>
      <c r="W17">
        <v>350094</v>
      </c>
      <c r="X17">
        <v>1793827</v>
      </c>
      <c r="Y17">
        <v>20763</v>
      </c>
      <c r="Z17">
        <v>1795141</v>
      </c>
      <c r="AA17">
        <v>20784</v>
      </c>
      <c r="AB17">
        <v>627446</v>
      </c>
      <c r="AC17">
        <v>5113</v>
      </c>
      <c r="AD17">
        <v>702990</v>
      </c>
      <c r="AE17">
        <v>5176</v>
      </c>
      <c r="AF17">
        <v>2.7743231332999998</v>
      </c>
      <c r="AG17">
        <v>2</v>
      </c>
      <c r="AH17" t="e">
        <v>#N/A</v>
      </c>
      <c r="AI17" t="str">
        <v>None</v>
      </c>
      <c r="AJ17">
        <v>49.58</v>
      </c>
      <c r="AK17">
        <v>49.57</v>
      </c>
      <c r="AL17">
        <v>1.6413930010358661E+18</v>
      </c>
    </row>
    <row r="18" spans="2:38" x14ac:dyDescent="0.3">
      <c r="B18" t="str">
        <f t="array" ref="B18:C32">_xll.MS.GET_ASSET(B12)</f>
        <v>field</v>
      </c>
      <c r="C18" t="str">
        <v>value</v>
      </c>
      <c r="H18" t="str">
        <v>2022-01-05T21:03:24.490Z</v>
      </c>
      <c r="I18" t="str">
        <v>BBG000BY29C7</v>
      </c>
      <c r="J18">
        <v>35035</v>
      </c>
      <c r="K18">
        <v>20220105</v>
      </c>
      <c r="L18" t="str">
        <v>TPR</v>
      </c>
      <c r="M18" t="str">
        <v>Tapestry Inc</v>
      </c>
      <c r="N18" t="str">
        <v>NYSE</v>
      </c>
      <c r="O18" t="str">
        <v>US8760301072</v>
      </c>
      <c r="P18">
        <v>41.71</v>
      </c>
      <c r="Q18">
        <v>29490</v>
      </c>
      <c r="R18">
        <v>42.36</v>
      </c>
      <c r="S18" t="str">
        <v>12:34:56.680899072</v>
      </c>
      <c r="T18">
        <v>41.09</v>
      </c>
      <c r="U18" t="str">
        <v>15:08:01.623603712</v>
      </c>
      <c r="V18">
        <v>41.28</v>
      </c>
      <c r="W18">
        <v>349756</v>
      </c>
      <c r="X18">
        <v>2480838</v>
      </c>
      <c r="Y18">
        <v>26986</v>
      </c>
      <c r="Z18">
        <v>2482099</v>
      </c>
      <c r="AA18">
        <v>27005</v>
      </c>
      <c r="AB18">
        <v>1459629</v>
      </c>
      <c r="AC18">
        <v>6491</v>
      </c>
      <c r="AD18">
        <v>1610559</v>
      </c>
      <c r="AE18">
        <v>6535</v>
      </c>
      <c r="AF18">
        <v>1.3818906580999999</v>
      </c>
      <c r="AG18">
        <v>1</v>
      </c>
      <c r="AH18" t="e">
        <v>#N/A</v>
      </c>
      <c r="AI18" t="str">
        <v>None</v>
      </c>
      <c r="AJ18">
        <v>41.69</v>
      </c>
      <c r="AK18">
        <v>41.67</v>
      </c>
      <c r="AL18">
        <v>1.6413930009392709E+18</v>
      </c>
    </row>
    <row r="19" spans="2:38" x14ac:dyDescent="0.3">
      <c r="B19" t="str">
        <v>orm_class</v>
      </c>
      <c r="C19" t="str">
        <v>Asset</v>
      </c>
      <c r="H19" t="str">
        <v>2022-01-06T21:02:12.637Z</v>
      </c>
      <c r="I19" t="str">
        <v>BBG000BS7KS3</v>
      </c>
      <c r="J19">
        <v>32840</v>
      </c>
      <c r="K19">
        <v>20220106</v>
      </c>
      <c r="L19" t="str">
        <v>TAP</v>
      </c>
      <c r="M19" t="str">
        <v>Molson Coors Beverage Company</v>
      </c>
      <c r="N19" t="str">
        <v>NYSE</v>
      </c>
      <c r="O19" t="str">
        <v>US60871R2094</v>
      </c>
      <c r="P19">
        <v>50.08</v>
      </c>
      <c r="Q19">
        <v>33604</v>
      </c>
      <c r="R19">
        <v>50.53</v>
      </c>
      <c r="S19" t="str">
        <v>09:41:21.142989824</v>
      </c>
      <c r="T19">
        <v>49.31</v>
      </c>
      <c r="U19" t="str">
        <v>12:03:59.279352064</v>
      </c>
      <c r="V19">
        <v>49.78</v>
      </c>
      <c r="W19">
        <v>367916</v>
      </c>
      <c r="X19">
        <v>2200530</v>
      </c>
      <c r="Y19">
        <v>24713</v>
      </c>
      <c r="Z19">
        <v>2209547</v>
      </c>
      <c r="AA19">
        <v>24792</v>
      </c>
      <c r="AB19">
        <v>714803</v>
      </c>
      <c r="AC19">
        <v>6707</v>
      </c>
      <c r="AD19">
        <v>772481</v>
      </c>
      <c r="AE19">
        <v>6752</v>
      </c>
      <c r="AF19">
        <v>2.7743231332999998</v>
      </c>
      <c r="AG19">
        <v>2</v>
      </c>
      <c r="AH19" t="e">
        <v>#N/A</v>
      </c>
      <c r="AI19" t="str">
        <v>None</v>
      </c>
      <c r="AJ19">
        <v>49.84</v>
      </c>
      <c r="AK19">
        <v>49.84</v>
      </c>
      <c r="AL19">
        <v>1.6414794013827489E+18</v>
      </c>
    </row>
    <row r="20" spans="2:38" x14ac:dyDescent="0.3">
      <c r="B20" t="str">
        <v>id</v>
      </c>
      <c r="C20">
        <v>29091</v>
      </c>
      <c r="H20" t="str">
        <v>2022-01-06T21:04:07.035Z</v>
      </c>
      <c r="I20" t="str">
        <v>BBG000BY29C7</v>
      </c>
      <c r="J20">
        <v>35035</v>
      </c>
      <c r="K20">
        <v>20220106</v>
      </c>
      <c r="L20" t="str">
        <v>TPR</v>
      </c>
      <c r="M20" t="str">
        <v>Tapestry Inc</v>
      </c>
      <c r="N20" t="str">
        <v>NYSE</v>
      </c>
      <c r="O20" t="str">
        <v>US8760301072</v>
      </c>
      <c r="P20">
        <v>41.59</v>
      </c>
      <c r="Q20">
        <v>27515</v>
      </c>
      <c r="R20">
        <v>42.05</v>
      </c>
      <c r="S20" t="str">
        <v>09:40:58.435521792</v>
      </c>
      <c r="T20">
        <v>40.76</v>
      </c>
      <c r="U20" t="str">
        <v>10:19:54.435241984</v>
      </c>
      <c r="V20">
        <v>41.45</v>
      </c>
      <c r="W20">
        <v>185238</v>
      </c>
      <c r="X20">
        <v>1503540</v>
      </c>
      <c r="Y20">
        <v>17557</v>
      </c>
      <c r="Z20">
        <v>1503622</v>
      </c>
      <c r="AA20">
        <v>17567</v>
      </c>
      <c r="AB20">
        <v>609747</v>
      </c>
      <c r="AC20">
        <v>4512</v>
      </c>
      <c r="AD20">
        <v>646166</v>
      </c>
      <c r="AE20">
        <v>4547</v>
      </c>
      <c r="AF20">
        <v>1.3818906580999999</v>
      </c>
      <c r="AG20">
        <v>1</v>
      </c>
      <c r="AH20" t="e">
        <v>#N/A</v>
      </c>
      <c r="AI20" t="str">
        <v>None</v>
      </c>
      <c r="AJ20">
        <v>41.51</v>
      </c>
      <c r="AK20">
        <v>41.51</v>
      </c>
      <c r="AL20">
        <v>1.6414794009698668E+18</v>
      </c>
    </row>
    <row r="21" spans="2:38" x14ac:dyDescent="0.3">
      <c r="B21" t="str">
        <v>unique_identifier</v>
      </c>
      <c r="C21" t="str">
        <v>BBG000BY29C7</v>
      </c>
      <c r="H21" t="str">
        <v>2022-01-07T21:02:11.693Z</v>
      </c>
      <c r="I21" t="str">
        <v>BBG000BS7KS3</v>
      </c>
      <c r="J21">
        <v>32840</v>
      </c>
      <c r="K21">
        <v>20220107</v>
      </c>
      <c r="L21" t="str">
        <v>TAP</v>
      </c>
      <c r="M21" t="str">
        <v>Molson Coors Beverage Company</v>
      </c>
      <c r="N21" t="str">
        <v>NYSE</v>
      </c>
      <c r="O21" t="str">
        <v>US60871R2094</v>
      </c>
      <c r="P21">
        <v>49.87</v>
      </c>
      <c r="Q21">
        <v>12635</v>
      </c>
      <c r="R21">
        <v>50.98</v>
      </c>
      <c r="S21" t="str">
        <v>10:28:14.974175232</v>
      </c>
      <c r="T21">
        <v>49.85</v>
      </c>
      <c r="U21" t="str">
        <v>09:30:24.151113984</v>
      </c>
      <c r="V21">
        <v>50.64</v>
      </c>
      <c r="W21">
        <v>209911</v>
      </c>
      <c r="X21">
        <v>1820013</v>
      </c>
      <c r="Y21">
        <v>21506</v>
      </c>
      <c r="Z21">
        <v>1820350</v>
      </c>
      <c r="AA21">
        <v>21520</v>
      </c>
      <c r="AB21">
        <v>1078189</v>
      </c>
      <c r="AC21">
        <v>8235</v>
      </c>
      <c r="AD21">
        <v>1119341</v>
      </c>
      <c r="AE21">
        <v>8275</v>
      </c>
      <c r="AF21">
        <v>2.7743231332999998</v>
      </c>
      <c r="AG21">
        <v>2</v>
      </c>
      <c r="AH21" t="e">
        <v>#N/A</v>
      </c>
      <c r="AI21" t="str">
        <v>None</v>
      </c>
      <c r="AJ21">
        <v>50.6</v>
      </c>
      <c r="AK21">
        <v>50.6</v>
      </c>
      <c r="AL21">
        <v>1.6415658010079089E+18</v>
      </c>
    </row>
    <row r="22" spans="2:38" x14ac:dyDescent="0.3">
      <c r="B22" t="str">
        <v>figi</v>
      </c>
      <c r="C22" t="str">
        <v>BBG000BY29C7</v>
      </c>
      <c r="H22" t="str">
        <v>2022-01-07T21:04:29.748Z</v>
      </c>
      <c r="I22" t="str">
        <v>BBG000BY29C7</v>
      </c>
      <c r="J22">
        <v>35035</v>
      </c>
      <c r="K22">
        <v>20220107</v>
      </c>
      <c r="L22" t="str">
        <v>TPR</v>
      </c>
      <c r="M22" t="str">
        <v>Tapestry Inc</v>
      </c>
      <c r="N22" t="str">
        <v>NYSE</v>
      </c>
      <c r="O22" t="str">
        <v>US8760301072</v>
      </c>
      <c r="P22">
        <v>41.18</v>
      </c>
      <c r="Q22">
        <v>53170</v>
      </c>
      <c r="R22">
        <v>41.38</v>
      </c>
      <c r="S22" t="str">
        <v>09:30:01.649835008</v>
      </c>
      <c r="T22">
        <v>39.32</v>
      </c>
      <c r="U22" t="str">
        <v>15:59:35.116575744</v>
      </c>
      <c r="V22">
        <v>39.340000000000003</v>
      </c>
      <c r="W22">
        <v>263878</v>
      </c>
      <c r="X22">
        <v>2083710</v>
      </c>
      <c r="Y22">
        <v>22027</v>
      </c>
      <c r="Z22">
        <v>2096346</v>
      </c>
      <c r="AA22">
        <v>22075</v>
      </c>
      <c r="AB22">
        <v>901909</v>
      </c>
      <c r="AC22">
        <v>6745</v>
      </c>
      <c r="AD22">
        <v>949697</v>
      </c>
      <c r="AE22">
        <v>6788</v>
      </c>
      <c r="AF22">
        <v>1.3818906580999999</v>
      </c>
      <c r="AG22">
        <v>1</v>
      </c>
      <c r="AH22" t="e">
        <v>#N/A</v>
      </c>
      <c r="AI22" t="str">
        <v>None</v>
      </c>
      <c r="AJ22">
        <v>39.97</v>
      </c>
      <c r="AK22">
        <v>39.96</v>
      </c>
      <c r="AL22">
        <v>1.6415658008651907E+18</v>
      </c>
    </row>
    <row r="23" spans="2:38" x14ac:dyDescent="0.3">
      <c r="B23" t="str">
        <v>composite</v>
      </c>
      <c r="C23" t="str">
        <v>BBG000BY29C7</v>
      </c>
      <c r="H23" t="str">
        <v>2022-01-10T21:04:55.711Z</v>
      </c>
      <c r="I23" t="str">
        <v>BBG000BY29C7</v>
      </c>
      <c r="J23">
        <v>35035</v>
      </c>
      <c r="K23">
        <v>20220110</v>
      </c>
      <c r="L23" t="str">
        <v>TPR</v>
      </c>
      <c r="M23" t="str">
        <v>Tapestry Inc</v>
      </c>
      <c r="N23" t="str">
        <v>NYSE</v>
      </c>
      <c r="O23" t="str">
        <v>US8760301072</v>
      </c>
      <c r="P23">
        <v>38.590000000000003</v>
      </c>
      <c r="Q23">
        <v>45892</v>
      </c>
      <c r="R23">
        <v>38.6</v>
      </c>
      <c r="S23" t="str">
        <v>09:30:00.966107904</v>
      </c>
      <c r="T23">
        <v>36.82</v>
      </c>
      <c r="U23" t="str">
        <v>12:45:00.586706688</v>
      </c>
      <c r="V23">
        <v>37.5</v>
      </c>
      <c r="W23">
        <v>375326</v>
      </c>
      <c r="X23">
        <v>3314221</v>
      </c>
      <c r="Y23">
        <v>34981</v>
      </c>
      <c r="Z23">
        <v>3318128</v>
      </c>
      <c r="AA23">
        <v>35070</v>
      </c>
      <c r="AB23">
        <v>1816636</v>
      </c>
      <c r="AC23">
        <v>10709</v>
      </c>
      <c r="AD23">
        <v>1882885</v>
      </c>
      <c r="AE23">
        <v>10765</v>
      </c>
      <c r="AF23">
        <v>1.3818906580999999</v>
      </c>
      <c r="AG23">
        <v>1</v>
      </c>
      <c r="AH23" t="e">
        <v>#N/A</v>
      </c>
      <c r="AI23" t="str">
        <v>None</v>
      </c>
      <c r="AJ23">
        <v>37.369999999999997</v>
      </c>
      <c r="AK23">
        <v>37.369999999999997</v>
      </c>
      <c r="AL23">
        <v>1.6418250009640678E+18</v>
      </c>
    </row>
    <row r="24" spans="2:38" x14ac:dyDescent="0.3">
      <c r="B24" t="str">
        <v>share_class</v>
      </c>
      <c r="C24" t="str">
        <v>BBG001SFH7D5</v>
      </c>
      <c r="H24" t="str">
        <v>2022-01-10T21:05:44.165Z</v>
      </c>
      <c r="I24" t="str">
        <v>BBG000BS7KS3</v>
      </c>
      <c r="J24">
        <v>32840</v>
      </c>
      <c r="K24">
        <v>20220110</v>
      </c>
      <c r="L24" t="str">
        <v>TAP</v>
      </c>
      <c r="M24" t="str">
        <v>Molson Coors Beverage Company</v>
      </c>
      <c r="N24" t="str">
        <v>NYSE</v>
      </c>
      <c r="O24" t="str">
        <v>US60871R2094</v>
      </c>
      <c r="P24">
        <v>51.29</v>
      </c>
      <c r="Q24">
        <v>21468</v>
      </c>
      <c r="R24">
        <v>51.33</v>
      </c>
      <c r="S24" t="str">
        <v>09:33:46.498123776</v>
      </c>
      <c r="T24">
        <v>49.06</v>
      </c>
      <c r="U24" t="str">
        <v>15:49:22.212307456</v>
      </c>
      <c r="V24">
        <v>49.29</v>
      </c>
      <c r="W24">
        <v>308090</v>
      </c>
      <c r="X24">
        <v>1681306</v>
      </c>
      <c r="Y24">
        <v>18626</v>
      </c>
      <c r="Z24">
        <v>1683437</v>
      </c>
      <c r="AA24">
        <v>18667</v>
      </c>
      <c r="AB24">
        <v>434408</v>
      </c>
      <c r="AC24">
        <v>4733</v>
      </c>
      <c r="AD24">
        <v>493838</v>
      </c>
      <c r="AE24">
        <v>4779</v>
      </c>
      <c r="AF24">
        <v>2.7743231332999998</v>
      </c>
      <c r="AG24">
        <v>2</v>
      </c>
      <c r="AH24" t="e">
        <v>#N/A</v>
      </c>
      <c r="AI24" t="str">
        <v>None</v>
      </c>
      <c r="AJ24">
        <v>49.83</v>
      </c>
      <c r="AK24">
        <v>49.81</v>
      </c>
      <c r="AL24">
        <v>1.6418250012051464E+18</v>
      </c>
    </row>
    <row r="25" spans="2:38" x14ac:dyDescent="0.3">
      <c r="B25" t="str">
        <v>isin</v>
      </c>
      <c r="C25" t="e">
        <v>#N/A</v>
      </c>
      <c r="H25" t="str">
        <v>2022-01-11T21:04:30.918Z</v>
      </c>
      <c r="I25" t="str">
        <v>BBG000BY29C7</v>
      </c>
      <c r="J25">
        <v>35035</v>
      </c>
      <c r="K25">
        <v>20220111</v>
      </c>
      <c r="L25" t="str">
        <v>TPR</v>
      </c>
      <c r="M25" t="str">
        <v>Tapestry Inc</v>
      </c>
      <c r="N25" t="str">
        <v>NYSE</v>
      </c>
      <c r="O25" t="str">
        <v>US8760301072</v>
      </c>
      <c r="P25">
        <v>37.5</v>
      </c>
      <c r="Q25">
        <v>29123</v>
      </c>
      <c r="R25">
        <v>38.24</v>
      </c>
      <c r="S25" t="str">
        <v>15:59:50.938140160</v>
      </c>
      <c r="T25">
        <v>36.9</v>
      </c>
      <c r="U25" t="str">
        <v>10:51:23.715976448</v>
      </c>
      <c r="V25">
        <v>38.21</v>
      </c>
      <c r="W25">
        <v>267020</v>
      </c>
      <c r="X25">
        <v>1854116</v>
      </c>
      <c r="Y25">
        <v>20379</v>
      </c>
      <c r="Z25">
        <v>1854247</v>
      </c>
      <c r="AA25">
        <v>20389</v>
      </c>
      <c r="AB25">
        <v>1017831</v>
      </c>
      <c r="AC25">
        <v>7831</v>
      </c>
      <c r="AD25">
        <v>1092393</v>
      </c>
      <c r="AE25">
        <v>7872</v>
      </c>
      <c r="AF25">
        <v>1.3818906580999999</v>
      </c>
      <c r="AG25">
        <v>1</v>
      </c>
      <c r="AH25" t="e">
        <v>#N/A</v>
      </c>
      <c r="AI25" t="str">
        <v>None</v>
      </c>
      <c r="AJ25">
        <v>37.770000000000003</v>
      </c>
      <c r="AK25">
        <v>37.770000000000003</v>
      </c>
      <c r="AL25">
        <v>1.6419114009031713E+18</v>
      </c>
    </row>
    <row r="26" spans="2:38" x14ac:dyDescent="0.3">
      <c r="B26" t="str">
        <v>security_type</v>
      </c>
      <c r="C26" t="str">
        <v>Common Stock</v>
      </c>
      <c r="H26" t="str">
        <v>2022-01-11T21:04:54.639Z</v>
      </c>
      <c r="I26" t="str">
        <v>BBG000BS7KS3</v>
      </c>
      <c r="J26">
        <v>32840</v>
      </c>
      <c r="K26">
        <v>20220111</v>
      </c>
      <c r="L26" t="str">
        <v>TAP</v>
      </c>
      <c r="M26" t="str">
        <v>Molson Coors Beverage Company</v>
      </c>
      <c r="N26" t="str">
        <v>NYSE</v>
      </c>
      <c r="O26" t="str">
        <v>US60871R2094</v>
      </c>
      <c r="P26">
        <v>49.18</v>
      </c>
      <c r="Q26">
        <v>13761</v>
      </c>
      <c r="R26">
        <v>49.48</v>
      </c>
      <c r="S26" t="str">
        <v>09:51:42.764889600</v>
      </c>
      <c r="T26">
        <v>48.33</v>
      </c>
      <c r="U26" t="str">
        <v>12:10:12.865575424</v>
      </c>
      <c r="V26">
        <v>49.25</v>
      </c>
      <c r="W26">
        <v>193658</v>
      </c>
      <c r="X26">
        <v>1046270</v>
      </c>
      <c r="Y26">
        <v>13301</v>
      </c>
      <c r="Z26">
        <v>1046403</v>
      </c>
      <c r="AA26">
        <v>13314</v>
      </c>
      <c r="AB26">
        <v>357483</v>
      </c>
      <c r="AC26">
        <v>3912</v>
      </c>
      <c r="AD26">
        <v>398809</v>
      </c>
      <c r="AE26">
        <v>3967</v>
      </c>
      <c r="AF26">
        <v>2.7743231332999998</v>
      </c>
      <c r="AG26">
        <v>2</v>
      </c>
      <c r="AH26" t="e">
        <v>#N/A</v>
      </c>
      <c r="AI26" t="str">
        <v>None</v>
      </c>
      <c r="AJ26">
        <v>48.98</v>
      </c>
      <c r="AK26">
        <v>48.98</v>
      </c>
      <c r="AL26">
        <v>1.6419114011713531E+18</v>
      </c>
    </row>
    <row r="27" spans="2:38" x14ac:dyDescent="0.3">
      <c r="B27" t="str">
        <v>security_type_2</v>
      </c>
      <c r="C27" t="str">
        <v>Common Stock</v>
      </c>
      <c r="H27" t="str">
        <v>2022-01-12T21:02:52.963Z</v>
      </c>
      <c r="I27" t="str">
        <v>BBG000BY29C7</v>
      </c>
      <c r="J27">
        <v>35035</v>
      </c>
      <c r="K27">
        <v>20220112</v>
      </c>
      <c r="L27" t="str">
        <v>TPR</v>
      </c>
      <c r="M27" t="str">
        <v>Tapestry Inc</v>
      </c>
      <c r="N27" t="str">
        <v>NYSE</v>
      </c>
      <c r="O27" t="str">
        <v>US8760301072</v>
      </c>
      <c r="P27">
        <v>38.4</v>
      </c>
      <c r="Q27">
        <v>25889</v>
      </c>
      <c r="R27">
        <v>38.85</v>
      </c>
      <c r="S27" t="str">
        <v>10:11:47.484518400</v>
      </c>
      <c r="T27">
        <v>37.76</v>
      </c>
      <c r="U27" t="str">
        <v>11:17:23.824561152</v>
      </c>
      <c r="V27">
        <v>38.549999999999997</v>
      </c>
      <c r="W27">
        <v>277620</v>
      </c>
      <c r="X27">
        <v>1639237</v>
      </c>
      <c r="Y27">
        <v>17597</v>
      </c>
      <c r="Z27">
        <v>1641328</v>
      </c>
      <c r="AA27">
        <v>17638</v>
      </c>
      <c r="AB27">
        <v>691510</v>
      </c>
      <c r="AC27">
        <v>6026</v>
      </c>
      <c r="AD27">
        <v>797746</v>
      </c>
      <c r="AE27">
        <v>6059</v>
      </c>
      <c r="AF27">
        <v>1.3818906580999999</v>
      </c>
      <c r="AG27">
        <v>1</v>
      </c>
      <c r="AH27" t="e">
        <v>#N/A</v>
      </c>
      <c r="AI27" t="str">
        <v>None</v>
      </c>
      <c r="AJ27">
        <v>38.380000000000003</v>
      </c>
      <c r="AK27">
        <v>38.39</v>
      </c>
      <c r="AL27">
        <v>1.6419978008487265E+18</v>
      </c>
    </row>
    <row r="28" spans="2:38" x14ac:dyDescent="0.3">
      <c r="B28" t="str">
        <v>security_market_sector</v>
      </c>
      <c r="C28" t="str">
        <v>Equity</v>
      </c>
      <c r="H28" t="str">
        <v>2022-01-12T21:03:36.490Z</v>
      </c>
      <c r="I28" t="str">
        <v>BBG000BS7KS3</v>
      </c>
      <c r="J28">
        <v>32840</v>
      </c>
      <c r="K28">
        <v>20220112</v>
      </c>
      <c r="L28" t="str">
        <v>TAP</v>
      </c>
      <c r="M28" t="str">
        <v>Molson Coors Beverage Company</v>
      </c>
      <c r="N28" t="str">
        <v>NYSE</v>
      </c>
      <c r="O28" t="str">
        <v>US60871R2094</v>
      </c>
      <c r="P28">
        <v>49.22</v>
      </c>
      <c r="Q28">
        <v>12734</v>
      </c>
      <c r="R28">
        <v>49.24</v>
      </c>
      <c r="S28" t="str">
        <v>09:44:42.440355072</v>
      </c>
      <c r="T28">
        <v>48.28</v>
      </c>
      <c r="U28" t="str">
        <v>15:50:22.045679104</v>
      </c>
      <c r="V28">
        <v>48.58</v>
      </c>
      <c r="W28">
        <v>319055</v>
      </c>
      <c r="X28">
        <v>1279283</v>
      </c>
      <c r="Y28">
        <v>13268</v>
      </c>
      <c r="Z28">
        <v>1279467</v>
      </c>
      <c r="AA28">
        <v>13273</v>
      </c>
      <c r="AB28">
        <v>501593</v>
      </c>
      <c r="AC28">
        <v>3833</v>
      </c>
      <c r="AD28">
        <v>544581</v>
      </c>
      <c r="AE28">
        <v>3878</v>
      </c>
      <c r="AF28">
        <v>2.7743231332999998</v>
      </c>
      <c r="AG28">
        <v>2</v>
      </c>
      <c r="AH28" t="e">
        <v>#N/A</v>
      </c>
      <c r="AI28" t="str">
        <v>None</v>
      </c>
      <c r="AJ28">
        <v>48.63</v>
      </c>
      <c r="AK28">
        <v>48.63</v>
      </c>
      <c r="AL28">
        <v>1.6419978010399552E+18</v>
      </c>
    </row>
    <row r="29" spans="2:38" x14ac:dyDescent="0.3">
      <c r="B29" t="str">
        <v>is_tradable</v>
      </c>
      <c r="C29" t="b">
        <v>1</v>
      </c>
      <c r="H29" t="str">
        <v>2022-01-13T21:02:09.179Z</v>
      </c>
      <c r="I29" t="str">
        <v>BBG000BS7KS3</v>
      </c>
      <c r="J29">
        <v>32840</v>
      </c>
      <c r="K29">
        <v>20220113</v>
      </c>
      <c r="L29" t="str">
        <v>TAP</v>
      </c>
      <c r="M29" t="str">
        <v>Molson Coors Beverage Company</v>
      </c>
      <c r="N29" t="str">
        <v>NYSE</v>
      </c>
      <c r="O29" t="str">
        <v>US60871R2094</v>
      </c>
      <c r="P29">
        <v>49.22</v>
      </c>
      <c r="Q29">
        <v>22526</v>
      </c>
      <c r="R29">
        <v>50.46</v>
      </c>
      <c r="S29" t="str">
        <v>13:19:52.722935040</v>
      </c>
      <c r="T29">
        <v>48.9</v>
      </c>
      <c r="U29" t="str">
        <v>09:30:07.082800896</v>
      </c>
      <c r="V29">
        <v>50.28</v>
      </c>
      <c r="W29">
        <v>258601</v>
      </c>
      <c r="X29">
        <v>1026918</v>
      </c>
      <c r="Y29">
        <v>10484</v>
      </c>
      <c r="Z29">
        <v>1031684</v>
      </c>
      <c r="AA29">
        <v>10535</v>
      </c>
      <c r="AB29">
        <v>306722</v>
      </c>
      <c r="AC29">
        <v>4011</v>
      </c>
      <c r="AD29">
        <v>337692</v>
      </c>
      <c r="AE29">
        <v>4067</v>
      </c>
      <c r="AF29">
        <v>2.7743231332999998</v>
      </c>
      <c r="AG29">
        <v>2</v>
      </c>
      <c r="AH29" t="e">
        <v>#N/A</v>
      </c>
      <c r="AI29" t="str">
        <v>None</v>
      </c>
      <c r="AJ29">
        <v>50.1</v>
      </c>
      <c r="AK29">
        <v>50.1</v>
      </c>
      <c r="AL29">
        <v>1.642084201045204E+18</v>
      </c>
    </row>
    <row r="30" spans="2:38" x14ac:dyDescent="0.3">
      <c r="B30" t="str">
        <v>is_custom_by_organization</v>
      </c>
      <c r="C30" t="b">
        <v>0</v>
      </c>
      <c r="H30" t="str">
        <v>2022-01-13T21:03:33.312Z</v>
      </c>
      <c r="I30" t="str">
        <v>BBG000BY29C7</v>
      </c>
      <c r="J30">
        <v>35035</v>
      </c>
      <c r="K30">
        <v>20220113</v>
      </c>
      <c r="L30" t="str">
        <v>TPR</v>
      </c>
      <c r="M30" t="str">
        <v>Tapestry Inc</v>
      </c>
      <c r="N30" t="str">
        <v>NYSE</v>
      </c>
      <c r="O30" t="str">
        <v>US8760301072</v>
      </c>
      <c r="P30">
        <v>38.67</v>
      </c>
      <c r="Q30">
        <v>18166</v>
      </c>
      <c r="R30">
        <v>39.729999999999997</v>
      </c>
      <c r="S30" t="str">
        <v>14:15:09.042066432</v>
      </c>
      <c r="T30">
        <v>38.450000000000003</v>
      </c>
      <c r="U30" t="str">
        <v>09:31:06.602286848</v>
      </c>
      <c r="V30">
        <v>39.229999999999997</v>
      </c>
      <c r="W30">
        <v>201904</v>
      </c>
      <c r="X30">
        <v>1850127</v>
      </c>
      <c r="Y30">
        <v>20320</v>
      </c>
      <c r="Z30">
        <v>1850177</v>
      </c>
      <c r="AA30">
        <v>20324</v>
      </c>
      <c r="AB30">
        <v>700729</v>
      </c>
      <c r="AC30">
        <v>4372</v>
      </c>
      <c r="AD30">
        <v>754545</v>
      </c>
      <c r="AE30">
        <v>4415</v>
      </c>
      <c r="AF30">
        <v>1.3818906580999999</v>
      </c>
      <c r="AG30">
        <v>1</v>
      </c>
      <c r="AH30" t="e">
        <v>#N/A</v>
      </c>
      <c r="AI30" t="str">
        <v>None</v>
      </c>
      <c r="AJ30">
        <v>39.200000000000003</v>
      </c>
      <c r="AK30">
        <v>39.200000000000003</v>
      </c>
      <c r="AL30">
        <v>1.6420842009086886E+18</v>
      </c>
    </row>
    <row r="31" spans="2:38" x14ac:dyDescent="0.3">
      <c r="B31" t="str">
        <v>current_snapshot</v>
      </c>
      <c r="C31" t="str">
        <v>{"orm_class": "AssetSnapshot", "id": null, "asset": 29091, "effective_from": "2025-08-03 00:00:00+00:00", "effective_to": null, "name": "TAPESTRY INC", "ticker": "TPR", "exchange_code": "US", "asset_ticker_group_id": "BBG001SFH7D5", "venue_specific_properties": null}</v>
      </c>
      <c r="H31" t="str">
        <v>2022-01-14T21:00:30.895Z</v>
      </c>
      <c r="I31" t="str">
        <v>BBG000BS7KS3</v>
      </c>
      <c r="J31">
        <v>32840</v>
      </c>
      <c r="K31">
        <v>20220114</v>
      </c>
      <c r="L31" t="str">
        <v>TAP</v>
      </c>
      <c r="M31" t="str">
        <v>Molson Coors Beverage Company</v>
      </c>
      <c r="N31" t="str">
        <v>NYSE</v>
      </c>
      <c r="O31" t="str">
        <v>US60871R2094</v>
      </c>
      <c r="P31">
        <v>50.05</v>
      </c>
      <c r="Q31">
        <v>21670</v>
      </c>
      <c r="R31">
        <v>51.91</v>
      </c>
      <c r="S31" t="str">
        <v>15:51:21.717088256</v>
      </c>
      <c r="T31">
        <v>49.89</v>
      </c>
      <c r="U31" t="str">
        <v>09:41:51.069601024</v>
      </c>
      <c r="V31">
        <v>51.69</v>
      </c>
      <c r="W31">
        <v>249535</v>
      </c>
      <c r="X31">
        <v>1241825</v>
      </c>
      <c r="Y31">
        <v>14264</v>
      </c>
      <c r="Z31">
        <v>1245949</v>
      </c>
      <c r="AA31">
        <v>14306</v>
      </c>
      <c r="AB31">
        <v>458244</v>
      </c>
      <c r="AC31">
        <v>4967</v>
      </c>
      <c r="AD31">
        <v>490758</v>
      </c>
      <c r="AE31">
        <v>5008</v>
      </c>
      <c r="AF31">
        <v>2.7743231332999998</v>
      </c>
      <c r="AG31">
        <v>2</v>
      </c>
      <c r="AH31" t="e">
        <v>#N/A</v>
      </c>
      <c r="AI31" t="str">
        <v>None</v>
      </c>
      <c r="AJ31">
        <v>51.22</v>
      </c>
      <c r="AK31">
        <v>51.23</v>
      </c>
      <c r="AL31">
        <v>1.6421706010327306E+18</v>
      </c>
    </row>
    <row r="32" spans="2:38" x14ac:dyDescent="0.3">
      <c r="B32" t="str">
        <v>current_pricing_detail</v>
      </c>
      <c r="C32" t="e">
        <v>#N/A</v>
      </c>
      <c r="H32" t="str">
        <v>2022-01-14T21:04:43.073Z</v>
      </c>
      <c r="I32" t="str">
        <v>BBG000BY29C7</v>
      </c>
      <c r="J32">
        <v>35035</v>
      </c>
      <c r="K32">
        <v>20220114</v>
      </c>
      <c r="L32" t="str">
        <v>TPR</v>
      </c>
      <c r="M32" t="str">
        <v>Tapestry Inc</v>
      </c>
      <c r="N32" t="str">
        <v>NYSE</v>
      </c>
      <c r="O32" t="str">
        <v>US8760301072</v>
      </c>
      <c r="P32">
        <v>38.6</v>
      </c>
      <c r="Q32">
        <v>29047</v>
      </c>
      <c r="R32">
        <v>38.799999999999997</v>
      </c>
      <c r="S32" t="str">
        <v>09:58:38.665979392</v>
      </c>
      <c r="T32">
        <v>37.53</v>
      </c>
      <c r="U32" t="str">
        <v>13:24:17.949858304</v>
      </c>
      <c r="V32">
        <v>38.369999999999997</v>
      </c>
      <c r="W32">
        <v>218864</v>
      </c>
      <c r="X32">
        <v>2312012</v>
      </c>
      <c r="Y32">
        <v>24053</v>
      </c>
      <c r="Z32">
        <v>2312355</v>
      </c>
      <c r="AA32">
        <v>24067</v>
      </c>
      <c r="AB32">
        <v>776322</v>
      </c>
      <c r="AC32">
        <v>5798</v>
      </c>
      <c r="AD32">
        <v>802912</v>
      </c>
      <c r="AE32">
        <v>5825</v>
      </c>
      <c r="AF32">
        <v>1.3818906580999999</v>
      </c>
      <c r="AG32">
        <v>1</v>
      </c>
      <c r="AH32" t="e">
        <v>#N/A</v>
      </c>
      <c r="AI32" t="str">
        <v>None</v>
      </c>
      <c r="AJ32">
        <v>38.159999999999997</v>
      </c>
      <c r="AK32">
        <v>38.159999999999997</v>
      </c>
      <c r="AL32">
        <v>1.6421706009242076E+18</v>
      </c>
    </row>
    <row r="33" spans="2:38" x14ac:dyDescent="0.3">
      <c r="H33" t="str">
        <v>2022-01-18T21:04:05.276Z</v>
      </c>
      <c r="I33" t="str">
        <v>BBG000BY29C7</v>
      </c>
      <c r="J33">
        <v>35035</v>
      </c>
      <c r="K33">
        <v>20220118</v>
      </c>
      <c r="L33" t="str">
        <v>TPR</v>
      </c>
      <c r="M33" t="str">
        <v>Tapestry Inc</v>
      </c>
      <c r="N33" t="str">
        <v>NYSE</v>
      </c>
      <c r="O33" t="str">
        <v>US8760301072</v>
      </c>
      <c r="P33">
        <v>37.9</v>
      </c>
      <c r="Q33">
        <v>25178</v>
      </c>
      <c r="R33">
        <v>37.909999999999997</v>
      </c>
      <c r="S33" t="str">
        <v>09:30:31.288422656</v>
      </c>
      <c r="T33">
        <v>37.26</v>
      </c>
      <c r="U33" t="str">
        <v>10:39:23.398725120</v>
      </c>
      <c r="V33">
        <v>37.47</v>
      </c>
      <c r="W33">
        <v>378747</v>
      </c>
      <c r="X33">
        <v>2157035</v>
      </c>
      <c r="Y33">
        <v>22775</v>
      </c>
      <c r="Z33">
        <v>2157305</v>
      </c>
      <c r="AA33">
        <v>22789</v>
      </c>
      <c r="AB33">
        <v>818539</v>
      </c>
      <c r="AC33">
        <v>8374</v>
      </c>
      <c r="AD33">
        <v>933208</v>
      </c>
      <c r="AE33">
        <v>8410</v>
      </c>
      <c r="AF33">
        <v>1.3818906580999999</v>
      </c>
      <c r="AG33">
        <v>1</v>
      </c>
      <c r="AH33" t="e">
        <v>#N/A</v>
      </c>
      <c r="AI33" t="str">
        <v>None</v>
      </c>
      <c r="AJ33">
        <v>37.53</v>
      </c>
      <c r="AK33">
        <v>37.53</v>
      </c>
      <c r="AL33">
        <v>1.6425162010415283E+18</v>
      </c>
    </row>
    <row r="34" spans="2:38" x14ac:dyDescent="0.3">
      <c r="H34" t="str">
        <v>2022-01-18T21:05:36.008Z</v>
      </c>
      <c r="I34" t="str">
        <v>BBG000BS7KS3</v>
      </c>
      <c r="J34">
        <v>32840</v>
      </c>
      <c r="K34">
        <v>20220118</v>
      </c>
      <c r="L34" t="str">
        <v>TAP</v>
      </c>
      <c r="M34" t="str">
        <v>Molson Coors Beverage Company</v>
      </c>
      <c r="N34" t="str">
        <v>NYSE</v>
      </c>
      <c r="O34" t="str">
        <v>US60871R2094</v>
      </c>
      <c r="P34">
        <v>51.6</v>
      </c>
      <c r="Q34">
        <v>14969</v>
      </c>
      <c r="R34">
        <v>52.15</v>
      </c>
      <c r="S34" t="str">
        <v>11:26:27.487504640</v>
      </c>
      <c r="T34">
        <v>51.3</v>
      </c>
      <c r="U34" t="str">
        <v>10:06:07.300673280</v>
      </c>
      <c r="V34">
        <v>51.65</v>
      </c>
      <c r="W34">
        <v>176277</v>
      </c>
      <c r="X34">
        <v>1341768</v>
      </c>
      <c r="Y34">
        <v>16003</v>
      </c>
      <c r="Z34">
        <v>1342343</v>
      </c>
      <c r="AA34">
        <v>16022</v>
      </c>
      <c r="AB34">
        <v>542775</v>
      </c>
      <c r="AC34">
        <v>5140</v>
      </c>
      <c r="AD34">
        <v>587795</v>
      </c>
      <c r="AE34">
        <v>5191</v>
      </c>
      <c r="AF34">
        <v>2.7743231332999998</v>
      </c>
      <c r="AG34">
        <v>2</v>
      </c>
      <c r="AH34" t="e">
        <v>#N/A</v>
      </c>
      <c r="AI34" t="str">
        <v>None</v>
      </c>
      <c r="AJ34">
        <v>51.68</v>
      </c>
      <c r="AK34">
        <v>51.68</v>
      </c>
      <c r="AL34">
        <v>1.6425162012108012E+18</v>
      </c>
    </row>
    <row r="35" spans="2:38" x14ac:dyDescent="0.3">
      <c r="B35" t="str">
        <f t="array" ref="B35:C75">_xll.MS.GET_ASSET(B12)</f>
        <v>field</v>
      </c>
      <c r="C35" t="str">
        <v>value</v>
      </c>
      <c r="H35" t="str">
        <v>2022-01-19T21:04:29.248Z</v>
      </c>
      <c r="I35" t="str">
        <v>BBG000BY29C7</v>
      </c>
      <c r="J35">
        <v>35035</v>
      </c>
      <c r="K35">
        <v>20220119</v>
      </c>
      <c r="L35" t="str">
        <v>TPR</v>
      </c>
      <c r="M35" t="str">
        <v>Tapestry Inc</v>
      </c>
      <c r="N35" t="str">
        <v>NYSE</v>
      </c>
      <c r="O35" t="str">
        <v>US8760301072</v>
      </c>
      <c r="P35">
        <v>37.93</v>
      </c>
      <c r="Q35">
        <v>36111</v>
      </c>
      <c r="R35">
        <v>38.26</v>
      </c>
      <c r="S35" t="str">
        <v>09:37:31.925293824</v>
      </c>
      <c r="T35">
        <v>37.46</v>
      </c>
      <c r="U35" t="str">
        <v>15:59:44.436343040</v>
      </c>
      <c r="V35">
        <v>37.46</v>
      </c>
      <c r="W35">
        <v>192819</v>
      </c>
      <c r="X35">
        <v>1889312</v>
      </c>
      <c r="Y35">
        <v>24292</v>
      </c>
      <c r="Z35">
        <v>1889912</v>
      </c>
      <c r="AA35">
        <v>24298</v>
      </c>
      <c r="AB35">
        <v>679668</v>
      </c>
      <c r="AC35">
        <v>5492</v>
      </c>
      <c r="AD35">
        <v>717720</v>
      </c>
      <c r="AE35">
        <v>5532</v>
      </c>
      <c r="AF35">
        <v>1.3818906580999999</v>
      </c>
      <c r="AG35">
        <v>1</v>
      </c>
      <c r="AH35" t="e">
        <v>#N/A</v>
      </c>
      <c r="AI35" t="str">
        <v>None</v>
      </c>
      <c r="AJ35">
        <v>37.770000000000003</v>
      </c>
      <c r="AK35">
        <v>37.770000000000003</v>
      </c>
      <c r="AL35">
        <v>1.6426026008334369E+18</v>
      </c>
    </row>
    <row r="36" spans="2:38" x14ac:dyDescent="0.3">
      <c r="B36" t="str">
        <v>orm_class</v>
      </c>
      <c r="C36" t="str">
        <v>Asset</v>
      </c>
      <c r="H36" t="str">
        <v>2022-01-19T21:04:50.339Z</v>
      </c>
      <c r="I36" t="str">
        <v>BBG000BS7KS3</v>
      </c>
      <c r="J36">
        <v>32840</v>
      </c>
      <c r="K36">
        <v>20220119</v>
      </c>
      <c r="L36" t="str">
        <v>TAP</v>
      </c>
      <c r="M36" t="str">
        <v>Molson Coors Beverage Company</v>
      </c>
      <c r="N36" t="str">
        <v>NYSE</v>
      </c>
      <c r="O36" t="str">
        <v>US60871R2094</v>
      </c>
      <c r="P36">
        <v>51.77</v>
      </c>
      <c r="Q36">
        <v>11489</v>
      </c>
      <c r="R36">
        <v>51.89</v>
      </c>
      <c r="S36" t="str">
        <v>09:30:25.560450560</v>
      </c>
      <c r="T36">
        <v>50.2</v>
      </c>
      <c r="U36" t="str">
        <v>15:59:31.137605632</v>
      </c>
      <c r="V36">
        <v>50.24</v>
      </c>
      <c r="W36">
        <v>164680</v>
      </c>
      <c r="X36">
        <v>909385</v>
      </c>
      <c r="Y36">
        <v>12149</v>
      </c>
      <c r="Z36">
        <v>909670</v>
      </c>
      <c r="AA36">
        <v>12164</v>
      </c>
      <c r="AB36">
        <v>281331</v>
      </c>
      <c r="AC36">
        <v>3553</v>
      </c>
      <c r="AD36">
        <v>313328</v>
      </c>
      <c r="AE36">
        <v>3593</v>
      </c>
      <c r="AF36">
        <v>2.7743231332999998</v>
      </c>
      <c r="AG36">
        <v>2</v>
      </c>
      <c r="AH36" t="e">
        <v>#N/A</v>
      </c>
      <c r="AI36" t="str">
        <v>None</v>
      </c>
      <c r="AJ36">
        <v>50.58</v>
      </c>
      <c r="AK36">
        <v>50.57</v>
      </c>
      <c r="AL36">
        <v>1.6426026010275041E+18</v>
      </c>
    </row>
    <row r="37" spans="2:38" x14ac:dyDescent="0.3">
      <c r="B37" t="str">
        <v>id</v>
      </c>
      <c r="C37">
        <v>29091</v>
      </c>
      <c r="H37" t="str">
        <v>2022-01-20T21:00:46.718Z</v>
      </c>
      <c r="I37" t="str">
        <v>BBG000BS7KS3</v>
      </c>
      <c r="J37">
        <v>32840</v>
      </c>
      <c r="K37">
        <v>20220120</v>
      </c>
      <c r="L37" t="str">
        <v>TAP</v>
      </c>
      <c r="M37" t="str">
        <v>Molson Coors Beverage Company</v>
      </c>
      <c r="N37" t="str">
        <v>NYSE</v>
      </c>
      <c r="O37" t="str">
        <v>US60871R2094</v>
      </c>
      <c r="P37">
        <v>49.94</v>
      </c>
      <c r="Q37">
        <v>19521</v>
      </c>
      <c r="R37">
        <v>50.45</v>
      </c>
      <c r="S37" t="str">
        <v>11:13:36.844199424</v>
      </c>
      <c r="T37">
        <v>49.21</v>
      </c>
      <c r="U37" t="str">
        <v>09:47:20.471418368</v>
      </c>
      <c r="V37">
        <v>49.37</v>
      </c>
      <c r="W37">
        <v>380440</v>
      </c>
      <c r="X37">
        <v>1382275</v>
      </c>
      <c r="Y37">
        <v>14837</v>
      </c>
      <c r="Z37">
        <v>1384323</v>
      </c>
      <c r="AA37">
        <v>14858</v>
      </c>
      <c r="AB37">
        <v>474203</v>
      </c>
      <c r="AC37">
        <v>5481</v>
      </c>
      <c r="AD37">
        <v>673405</v>
      </c>
      <c r="AE37">
        <v>5519</v>
      </c>
      <c r="AF37">
        <v>2.7743231332999998</v>
      </c>
      <c r="AG37">
        <v>2</v>
      </c>
      <c r="AH37" t="e">
        <v>#N/A</v>
      </c>
      <c r="AI37" t="str">
        <v>None</v>
      </c>
      <c r="AJ37">
        <v>49.69</v>
      </c>
      <c r="AK37">
        <v>49.66</v>
      </c>
      <c r="AL37">
        <v>1.6426890010421972E+18</v>
      </c>
    </row>
    <row r="38" spans="2:38" x14ac:dyDescent="0.3">
      <c r="B38" t="str">
        <v>unique_identifier</v>
      </c>
      <c r="C38" t="str">
        <v>BBG000BY29C7</v>
      </c>
      <c r="H38" t="str">
        <v>2022-01-20T21:02:48.346Z</v>
      </c>
      <c r="I38" t="str">
        <v>BBG000BY29C7</v>
      </c>
      <c r="J38">
        <v>35035</v>
      </c>
      <c r="K38">
        <v>20220120</v>
      </c>
      <c r="L38" t="str">
        <v>TPR</v>
      </c>
      <c r="M38" t="str">
        <v>Tapestry Inc</v>
      </c>
      <c r="N38" t="str">
        <v>NYSE</v>
      </c>
      <c r="O38" t="str">
        <v>US8760301072</v>
      </c>
      <c r="P38">
        <v>37.42</v>
      </c>
      <c r="Q38">
        <v>18398</v>
      </c>
      <c r="R38">
        <v>38.380000000000003</v>
      </c>
      <c r="S38" t="str">
        <v>11:03:24.837015808</v>
      </c>
      <c r="T38">
        <v>36.67</v>
      </c>
      <c r="U38" t="str">
        <v>15:56:12.458644992</v>
      </c>
      <c r="V38">
        <v>36.76</v>
      </c>
      <c r="W38">
        <v>161479</v>
      </c>
      <c r="X38">
        <v>1725361</v>
      </c>
      <c r="Y38">
        <v>22574</v>
      </c>
      <c r="Z38">
        <v>1726917</v>
      </c>
      <c r="AA38">
        <v>22609</v>
      </c>
      <c r="AB38">
        <v>631257</v>
      </c>
      <c r="AC38">
        <v>5288</v>
      </c>
      <c r="AD38">
        <v>665461</v>
      </c>
      <c r="AE38">
        <v>5324</v>
      </c>
      <c r="AF38">
        <v>1.3818906580999999</v>
      </c>
      <c r="AG38">
        <v>1</v>
      </c>
      <c r="AH38" t="e">
        <v>#N/A</v>
      </c>
      <c r="AI38" t="str">
        <v>None</v>
      </c>
      <c r="AJ38">
        <v>37.46</v>
      </c>
      <c r="AK38">
        <v>37.46</v>
      </c>
      <c r="AL38">
        <v>1.6426890008660436E+18</v>
      </c>
    </row>
    <row r="39" spans="2:38" x14ac:dyDescent="0.3">
      <c r="B39" t="str">
        <v>figi</v>
      </c>
      <c r="C39" t="str">
        <v>BBG000BY29C7</v>
      </c>
      <c r="H39" t="str">
        <v>2022-01-21T21:00:16.353Z</v>
      </c>
      <c r="I39" t="str">
        <v>BBG000BS7KS3</v>
      </c>
      <c r="J39">
        <v>32840</v>
      </c>
      <c r="K39">
        <v>20220121</v>
      </c>
      <c r="L39" t="str">
        <v>TAP</v>
      </c>
      <c r="M39" t="str">
        <v>Molson Coors Beverage Company</v>
      </c>
      <c r="N39" t="str">
        <v>NYSE</v>
      </c>
      <c r="O39" t="str">
        <v>US60871R2094</v>
      </c>
      <c r="P39">
        <v>49.72</v>
      </c>
      <c r="Q39">
        <v>42285</v>
      </c>
      <c r="R39">
        <v>49.91</v>
      </c>
      <c r="S39" t="str">
        <v>10:44:05.205575424</v>
      </c>
      <c r="T39">
        <v>48.41</v>
      </c>
      <c r="U39" t="str">
        <v>15:37:58.733437184</v>
      </c>
      <c r="V39">
        <v>48.62</v>
      </c>
      <c r="W39">
        <v>188951</v>
      </c>
      <c r="X39">
        <v>1228664</v>
      </c>
      <c r="Y39">
        <v>15597</v>
      </c>
      <c r="Z39">
        <v>1232927</v>
      </c>
      <c r="AA39">
        <v>15683</v>
      </c>
      <c r="AB39">
        <v>410838</v>
      </c>
      <c r="AC39">
        <v>5142</v>
      </c>
      <c r="AD39">
        <v>449845</v>
      </c>
      <c r="AE39">
        <v>5170</v>
      </c>
      <c r="AF39">
        <v>2.7743231332999998</v>
      </c>
      <c r="AG39">
        <v>2</v>
      </c>
      <c r="AH39" t="e">
        <v>#N/A</v>
      </c>
      <c r="AI39" t="str">
        <v>None</v>
      </c>
      <c r="AJ39">
        <v>49.01</v>
      </c>
      <c r="AK39">
        <v>49</v>
      </c>
      <c r="AL39">
        <v>1.6427754011696371E+18</v>
      </c>
    </row>
    <row r="40" spans="2:38" x14ac:dyDescent="0.3">
      <c r="B40" t="str">
        <v>composite</v>
      </c>
      <c r="C40" t="str">
        <v>BBG000BY29C7</v>
      </c>
      <c r="H40" t="str">
        <v>2022-01-21T21:04:16.823Z</v>
      </c>
      <c r="I40" t="str">
        <v>BBG000BY29C7</v>
      </c>
      <c r="J40">
        <v>35035</v>
      </c>
      <c r="K40">
        <v>20220121</v>
      </c>
      <c r="L40" t="str">
        <v>TPR</v>
      </c>
      <c r="M40" t="str">
        <v>Tapestry Inc</v>
      </c>
      <c r="N40" t="str">
        <v>NYSE</v>
      </c>
      <c r="O40" t="str">
        <v>US8760301072</v>
      </c>
      <c r="P40">
        <v>36.72</v>
      </c>
      <c r="Q40">
        <v>91328</v>
      </c>
      <c r="R40">
        <v>37.67</v>
      </c>
      <c r="S40" t="str">
        <v>11:23:37.411927296</v>
      </c>
      <c r="T40">
        <v>36.33</v>
      </c>
      <c r="U40" t="str">
        <v>09:32:14.580766720</v>
      </c>
      <c r="V40">
        <v>36.549999999999997</v>
      </c>
      <c r="W40">
        <v>579668</v>
      </c>
      <c r="X40">
        <v>2626815</v>
      </c>
      <c r="Y40">
        <v>27489</v>
      </c>
      <c r="Z40">
        <v>2631297</v>
      </c>
      <c r="AA40">
        <v>27553</v>
      </c>
      <c r="AB40">
        <v>708651</v>
      </c>
      <c r="AC40">
        <v>6079</v>
      </c>
      <c r="AD40">
        <v>752211</v>
      </c>
      <c r="AE40">
        <v>6118</v>
      </c>
      <c r="AF40">
        <v>1.3818906580999999</v>
      </c>
      <c r="AG40">
        <v>1</v>
      </c>
      <c r="AH40" t="e">
        <v>#N/A</v>
      </c>
      <c r="AI40" t="str">
        <v>None</v>
      </c>
      <c r="AJ40">
        <v>36.89</v>
      </c>
      <c r="AK40">
        <v>36.880000000000003</v>
      </c>
      <c r="AL40">
        <v>1.6427754010820531E+18</v>
      </c>
    </row>
    <row r="41" spans="2:38" x14ac:dyDescent="0.3">
      <c r="B41" t="str">
        <v>share_class</v>
      </c>
      <c r="C41" t="str">
        <v>BBG001SFH7D5</v>
      </c>
      <c r="H41" t="str">
        <v>2022-01-24T21:00:23.028Z</v>
      </c>
      <c r="I41" t="str">
        <v>BBG000BS7KS3</v>
      </c>
      <c r="J41">
        <v>32840</v>
      </c>
      <c r="K41">
        <v>20220124</v>
      </c>
      <c r="L41" t="str">
        <v>TAP</v>
      </c>
      <c r="M41" t="str">
        <v>Molson Coors Beverage Company</v>
      </c>
      <c r="N41" t="str">
        <v>NYSE</v>
      </c>
      <c r="O41" t="str">
        <v>US60871R2094</v>
      </c>
      <c r="P41">
        <v>48.13</v>
      </c>
      <c r="Q41">
        <v>22470</v>
      </c>
      <c r="R41">
        <v>50.03</v>
      </c>
      <c r="S41" t="str">
        <v>15:53:30.592847872</v>
      </c>
      <c r="T41">
        <v>47.95</v>
      </c>
      <c r="U41" t="str">
        <v>10:20:04.735058432</v>
      </c>
      <c r="V41">
        <v>49.86</v>
      </c>
      <c r="W41">
        <v>221425</v>
      </c>
      <c r="X41">
        <v>1244641</v>
      </c>
      <c r="Y41">
        <v>15785</v>
      </c>
      <c r="Z41">
        <v>1245675</v>
      </c>
      <c r="AA41">
        <v>15826</v>
      </c>
      <c r="AB41">
        <v>485106</v>
      </c>
      <c r="AC41">
        <v>5772</v>
      </c>
      <c r="AD41">
        <v>568824</v>
      </c>
      <c r="AE41">
        <v>5808</v>
      </c>
      <c r="AF41">
        <v>2.7743231332999998</v>
      </c>
      <c r="AG41">
        <v>2</v>
      </c>
      <c r="AH41" t="e">
        <v>#N/A</v>
      </c>
      <c r="AI41" t="str">
        <v>None</v>
      </c>
      <c r="AJ41">
        <v>48.99</v>
      </c>
      <c r="AK41">
        <v>49.03</v>
      </c>
      <c r="AL41">
        <v>1.6430346011142853E+18</v>
      </c>
    </row>
    <row r="42" spans="2:38" x14ac:dyDescent="0.3">
      <c r="B42" t="str">
        <v>isin</v>
      </c>
      <c r="C42" t="e">
        <v>#N/A</v>
      </c>
      <c r="H42" t="str">
        <v>2022-01-24T21:03:59.024Z</v>
      </c>
      <c r="I42" t="str">
        <v>BBG000BY29C7</v>
      </c>
      <c r="J42">
        <v>35035</v>
      </c>
      <c r="K42">
        <v>20220124</v>
      </c>
      <c r="L42" t="str">
        <v>TPR</v>
      </c>
      <c r="M42" t="str">
        <v>Tapestry Inc</v>
      </c>
      <c r="N42" t="str">
        <v>NYSE</v>
      </c>
      <c r="O42" t="str">
        <v>US8760301072</v>
      </c>
      <c r="P42">
        <v>35.86</v>
      </c>
      <c r="Q42">
        <v>70984</v>
      </c>
      <c r="R42">
        <v>38.19</v>
      </c>
      <c r="S42" t="str">
        <v>15:58:40.649030656</v>
      </c>
      <c r="T42">
        <v>35.369999999999997</v>
      </c>
      <c r="U42" t="str">
        <v>10:11:13.407584512</v>
      </c>
      <c r="V42">
        <v>38.19</v>
      </c>
      <c r="W42">
        <v>395591</v>
      </c>
      <c r="X42">
        <v>3456961</v>
      </c>
      <c r="Y42">
        <v>34522</v>
      </c>
      <c r="Z42">
        <v>3460443</v>
      </c>
      <c r="AA42">
        <v>34569</v>
      </c>
      <c r="AB42">
        <v>1347253</v>
      </c>
      <c r="AC42">
        <v>9136</v>
      </c>
      <c r="AD42">
        <v>1489296</v>
      </c>
      <c r="AE42">
        <v>9194</v>
      </c>
      <c r="AF42">
        <v>1.3818906580999999</v>
      </c>
      <c r="AG42">
        <v>1</v>
      </c>
      <c r="AH42" t="e">
        <v>#N/A</v>
      </c>
      <c r="AI42" t="str">
        <v>None</v>
      </c>
      <c r="AJ42">
        <v>37.049999999999997</v>
      </c>
      <c r="AK42">
        <v>37.07</v>
      </c>
      <c r="AL42">
        <v>1.6430346009574976E+18</v>
      </c>
    </row>
    <row r="43" spans="2:38" x14ac:dyDescent="0.3">
      <c r="B43" t="str">
        <v>security_type</v>
      </c>
      <c r="C43" t="str">
        <v>Common Stock</v>
      </c>
      <c r="H43" t="str">
        <v>2022-01-25T21:02:56.007Z</v>
      </c>
      <c r="I43" t="str">
        <v>BBG000BY29C7</v>
      </c>
      <c r="J43">
        <v>35035</v>
      </c>
      <c r="K43">
        <v>20220125</v>
      </c>
      <c r="L43" t="str">
        <v>TPR</v>
      </c>
      <c r="M43" t="str">
        <v>Tapestry Inc</v>
      </c>
      <c r="N43" t="str">
        <v>NYSE</v>
      </c>
      <c r="O43" t="str">
        <v>US8760301072</v>
      </c>
      <c r="P43">
        <v>37.1</v>
      </c>
      <c r="Q43">
        <v>31493</v>
      </c>
      <c r="R43">
        <v>37.86</v>
      </c>
      <c r="S43" t="str">
        <v>14:57:45.381715456</v>
      </c>
      <c r="T43">
        <v>36.549999999999997</v>
      </c>
      <c r="U43" t="str">
        <v>10:06:43.486828288</v>
      </c>
      <c r="V43">
        <v>37.46</v>
      </c>
      <c r="W43">
        <v>164749</v>
      </c>
      <c r="X43">
        <v>1912239</v>
      </c>
      <c r="Y43">
        <v>27523</v>
      </c>
      <c r="Z43">
        <v>1914582</v>
      </c>
      <c r="AA43">
        <v>27591</v>
      </c>
      <c r="AB43">
        <v>627206</v>
      </c>
      <c r="AC43">
        <v>5391</v>
      </c>
      <c r="AD43">
        <v>659104</v>
      </c>
      <c r="AE43">
        <v>5425</v>
      </c>
      <c r="AF43">
        <v>1.3818906580999999</v>
      </c>
      <c r="AG43">
        <v>1</v>
      </c>
      <c r="AH43" t="e">
        <v>#N/A</v>
      </c>
      <c r="AI43" t="str">
        <v>None</v>
      </c>
      <c r="AJ43">
        <v>37.24</v>
      </c>
      <c r="AK43">
        <v>37.24</v>
      </c>
      <c r="AL43">
        <v>1.6431210008202399E+18</v>
      </c>
    </row>
    <row r="44" spans="2:38" x14ac:dyDescent="0.3">
      <c r="B44" t="str">
        <v>security_type_2</v>
      </c>
      <c r="C44" t="str">
        <v>Common Stock</v>
      </c>
      <c r="H44" t="str">
        <v>2022-01-25T21:04:05.255Z</v>
      </c>
      <c r="I44" t="str">
        <v>BBG000BS7KS3</v>
      </c>
      <c r="J44">
        <v>32840</v>
      </c>
      <c r="K44">
        <v>20220125</v>
      </c>
      <c r="L44" t="str">
        <v>TAP</v>
      </c>
      <c r="M44" t="str">
        <v>Molson Coors Beverage Company</v>
      </c>
      <c r="N44" t="str">
        <v>NYSE</v>
      </c>
      <c r="O44" t="str">
        <v>US60871R2094</v>
      </c>
      <c r="P44">
        <v>49.57</v>
      </c>
      <c r="Q44">
        <v>13586</v>
      </c>
      <c r="R44">
        <v>50.39</v>
      </c>
      <c r="S44" t="str">
        <v>15:19:26.932040704</v>
      </c>
      <c r="T44">
        <v>48.62</v>
      </c>
      <c r="U44" t="str">
        <v>10:12:27.653966592</v>
      </c>
      <c r="V44">
        <v>50.22</v>
      </c>
      <c r="W44">
        <v>158863</v>
      </c>
      <c r="X44">
        <v>1039507</v>
      </c>
      <c r="Y44">
        <v>14010</v>
      </c>
      <c r="Z44">
        <v>1040345</v>
      </c>
      <c r="AA44">
        <v>14040</v>
      </c>
      <c r="AB44">
        <v>246775</v>
      </c>
      <c r="AC44">
        <v>3379</v>
      </c>
      <c r="AD44">
        <v>298128</v>
      </c>
      <c r="AE44">
        <v>3427</v>
      </c>
      <c r="AF44">
        <v>2.7743231332999998</v>
      </c>
      <c r="AG44">
        <v>2</v>
      </c>
      <c r="AH44" t="e">
        <v>#N/A</v>
      </c>
      <c r="AI44" t="str">
        <v>None</v>
      </c>
      <c r="AJ44">
        <v>49.83</v>
      </c>
      <c r="AK44">
        <v>49.85</v>
      </c>
      <c r="AL44">
        <v>1.6431210010281495E+18</v>
      </c>
    </row>
    <row r="45" spans="2:38" x14ac:dyDescent="0.3">
      <c r="B45" t="str">
        <v>security_market_sector</v>
      </c>
      <c r="C45" t="str">
        <v>Equity</v>
      </c>
      <c r="H45" t="str">
        <v>2022-01-26T21:03:06.793Z</v>
      </c>
      <c r="I45" t="str">
        <v>BBG000BY29C7</v>
      </c>
      <c r="J45">
        <v>35035</v>
      </c>
      <c r="K45">
        <v>20220126</v>
      </c>
      <c r="L45" t="str">
        <v>TPR</v>
      </c>
      <c r="M45" t="str">
        <v>Tapestry Inc</v>
      </c>
      <c r="N45" t="str">
        <v>NYSE</v>
      </c>
      <c r="O45" t="str">
        <v>US8760301072</v>
      </c>
      <c r="P45">
        <v>38.11</v>
      </c>
      <c r="Q45">
        <v>24678</v>
      </c>
      <c r="R45">
        <v>38.47</v>
      </c>
      <c r="S45" t="str">
        <v>10:04:08.917355008</v>
      </c>
      <c r="T45">
        <v>36.29</v>
      </c>
      <c r="U45" t="str">
        <v>15:24:13.016177920</v>
      </c>
      <c r="V45">
        <v>36.78</v>
      </c>
      <c r="W45">
        <v>177051</v>
      </c>
      <c r="X45">
        <v>1993373</v>
      </c>
      <c r="Y45">
        <v>28406</v>
      </c>
      <c r="Z45">
        <v>1993384</v>
      </c>
      <c r="AA45">
        <v>28412</v>
      </c>
      <c r="AB45">
        <v>625116</v>
      </c>
      <c r="AC45">
        <v>5325</v>
      </c>
      <c r="AD45">
        <v>668557</v>
      </c>
      <c r="AE45">
        <v>5367</v>
      </c>
      <c r="AF45">
        <v>1.3818906580999999</v>
      </c>
      <c r="AG45">
        <v>1</v>
      </c>
      <c r="AH45" t="e">
        <v>#N/A</v>
      </c>
      <c r="AI45" t="str">
        <v>None</v>
      </c>
      <c r="AJ45">
        <v>37.28</v>
      </c>
      <c r="AK45">
        <v>37.270000000000003</v>
      </c>
      <c r="AL45">
        <v>1.6432074008034757E+18</v>
      </c>
    </row>
    <row r="46" spans="2:38" x14ac:dyDescent="0.3">
      <c r="B46" t="str">
        <v>is_tradable</v>
      </c>
      <c r="C46" t="b">
        <v>1</v>
      </c>
      <c r="H46" t="str">
        <v>2022-01-26T21:03:54.675Z</v>
      </c>
      <c r="I46" t="str">
        <v>BBG000BS7KS3</v>
      </c>
      <c r="J46">
        <v>32840</v>
      </c>
      <c r="K46">
        <v>20220126</v>
      </c>
      <c r="L46" t="str">
        <v>TAP</v>
      </c>
      <c r="M46" t="str">
        <v>Molson Coors Beverage Company</v>
      </c>
      <c r="N46" t="str">
        <v>NYSE</v>
      </c>
      <c r="O46" t="str">
        <v>US60871R2094</v>
      </c>
      <c r="P46">
        <v>50.09</v>
      </c>
      <c r="Q46">
        <v>19199</v>
      </c>
      <c r="R46">
        <v>50.56</v>
      </c>
      <c r="S46" t="str">
        <v>09:49:26.195418880</v>
      </c>
      <c r="T46">
        <v>47.85</v>
      </c>
      <c r="U46" t="str">
        <v>15:24:12.227419648</v>
      </c>
      <c r="V46">
        <v>48.38</v>
      </c>
      <c r="W46">
        <v>194687</v>
      </c>
      <c r="X46">
        <v>1356940</v>
      </c>
      <c r="Y46">
        <v>17016</v>
      </c>
      <c r="Z46">
        <v>1357635</v>
      </c>
      <c r="AA46">
        <v>17030</v>
      </c>
      <c r="AB46">
        <v>659403</v>
      </c>
      <c r="AC46">
        <v>6417</v>
      </c>
      <c r="AD46">
        <v>694271</v>
      </c>
      <c r="AE46">
        <v>6454</v>
      </c>
      <c r="AF46">
        <v>2.7743231332999998</v>
      </c>
      <c r="AG46">
        <v>2</v>
      </c>
      <c r="AH46" t="e">
        <v>#N/A</v>
      </c>
      <c r="AI46" t="str">
        <v>None</v>
      </c>
      <c r="AJ46">
        <v>48.52</v>
      </c>
      <c r="AK46">
        <v>48.52</v>
      </c>
      <c r="AL46">
        <v>1.6432074009946002E+18</v>
      </c>
    </row>
    <row r="47" spans="2:38" x14ac:dyDescent="0.3">
      <c r="B47" t="str">
        <v>is_custom_by_organization</v>
      </c>
      <c r="C47" t="b">
        <v>0</v>
      </c>
      <c r="H47" t="str">
        <v>2022-01-27T21:05:28.090Z</v>
      </c>
      <c r="I47" t="str">
        <v>BBG000BY29C7</v>
      </c>
      <c r="J47">
        <v>35035</v>
      </c>
      <c r="K47">
        <v>20220127</v>
      </c>
      <c r="L47" t="str">
        <v>TPR</v>
      </c>
      <c r="M47" t="str">
        <v>Tapestry Inc</v>
      </c>
      <c r="N47" t="str">
        <v>NYSE</v>
      </c>
      <c r="O47" t="str">
        <v>US8760301072</v>
      </c>
      <c r="P47">
        <v>37.43</v>
      </c>
      <c r="Q47">
        <v>42459</v>
      </c>
      <c r="R47">
        <v>38.25</v>
      </c>
      <c r="S47" t="str">
        <v>09:48:49.325703936</v>
      </c>
      <c r="T47">
        <v>36.770000000000003</v>
      </c>
      <c r="U47" t="str">
        <v>15:15:44.207505152</v>
      </c>
      <c r="V47">
        <v>37.06</v>
      </c>
      <c r="W47">
        <v>136189</v>
      </c>
      <c r="X47">
        <v>2082960</v>
      </c>
      <c r="Y47">
        <v>29990</v>
      </c>
      <c r="Z47">
        <v>2083792</v>
      </c>
      <c r="AA47">
        <v>30009</v>
      </c>
      <c r="AB47">
        <v>603328</v>
      </c>
      <c r="AC47">
        <v>4940</v>
      </c>
      <c r="AD47">
        <v>632287</v>
      </c>
      <c r="AE47">
        <v>4980</v>
      </c>
      <c r="AF47">
        <v>1.3818906580999999</v>
      </c>
      <c r="AG47">
        <v>1</v>
      </c>
      <c r="AH47" t="e">
        <v>#N/A</v>
      </c>
      <c r="AI47" t="str">
        <v>None</v>
      </c>
      <c r="AJ47">
        <v>37.450000000000003</v>
      </c>
      <c r="AK47">
        <v>37.450000000000003</v>
      </c>
      <c r="AL47">
        <v>1.6432938008276524E+18</v>
      </c>
    </row>
    <row r="48" spans="2:38" x14ac:dyDescent="0.3">
      <c r="B48" t="str">
        <v>current_snapshot</v>
      </c>
      <c r="C48" t="str">
        <v>{"orm_class": "AssetSnapshot", "id": null, "asset": 29091, "effective_from": "2025-08-03 00:00:00+00:00", "effective_to": null, "name": "TAPESTRY INC", "ticker": "TPR", "exchange_code": "US", "asset_ticker_group_id": "BBG001SFH7D5", "venue_specific_properties": null}</v>
      </c>
      <c r="H48" t="str">
        <v>2022-01-27T21:06:03.108Z</v>
      </c>
      <c r="I48" t="str">
        <v>BBG000BS7KS3</v>
      </c>
      <c r="J48">
        <v>32840</v>
      </c>
      <c r="K48">
        <v>20220127</v>
      </c>
      <c r="L48" t="str">
        <v>TAP</v>
      </c>
      <c r="M48" t="str">
        <v>Molson Coors Beverage Company</v>
      </c>
      <c r="N48" t="str">
        <v>NYSE</v>
      </c>
      <c r="O48" t="str">
        <v>US60871R2094</v>
      </c>
      <c r="P48">
        <v>48.46</v>
      </c>
      <c r="Q48">
        <v>18239</v>
      </c>
      <c r="R48">
        <v>49.7</v>
      </c>
      <c r="S48" t="str">
        <v>10:12:17.367534848</v>
      </c>
      <c r="T48">
        <v>47.86</v>
      </c>
      <c r="U48" t="str">
        <v>13:07:04.185972992</v>
      </c>
      <c r="V48">
        <v>48.16</v>
      </c>
      <c r="W48">
        <v>112328</v>
      </c>
      <c r="X48">
        <v>827604</v>
      </c>
      <c r="Y48">
        <v>13953</v>
      </c>
      <c r="Z48">
        <v>828068</v>
      </c>
      <c r="AA48">
        <v>13988</v>
      </c>
      <c r="AB48">
        <v>221369</v>
      </c>
      <c r="AC48">
        <v>3832</v>
      </c>
      <c r="AD48">
        <v>245171</v>
      </c>
      <c r="AE48">
        <v>3877</v>
      </c>
      <c r="AF48">
        <v>2.7743231332999998</v>
      </c>
      <c r="AG48">
        <v>2</v>
      </c>
      <c r="AH48" t="e">
        <v>#N/A</v>
      </c>
      <c r="AI48" t="str">
        <v>None</v>
      </c>
      <c r="AJ48">
        <v>48.54</v>
      </c>
      <c r="AK48">
        <v>48.54</v>
      </c>
      <c r="AL48">
        <v>1.6432938009097528E+18</v>
      </c>
    </row>
    <row r="49" spans="2:38" x14ac:dyDescent="0.3">
      <c r="B49" t="str">
        <v>current_pricing_detail</v>
      </c>
      <c r="C49" t="e">
        <v>#N/A</v>
      </c>
      <c r="H49" t="str">
        <v>2022-01-28T21:02:51.128Z</v>
      </c>
      <c r="I49" t="str">
        <v>BBG000BY29C7</v>
      </c>
      <c r="J49">
        <v>35035</v>
      </c>
      <c r="K49">
        <v>20220128</v>
      </c>
      <c r="L49" t="str">
        <v>TPR</v>
      </c>
      <c r="M49" t="str">
        <v>Tapestry Inc</v>
      </c>
      <c r="N49" t="str">
        <v>NYSE</v>
      </c>
      <c r="O49" t="str">
        <v>US8760301072</v>
      </c>
      <c r="P49">
        <v>37.299999999999997</v>
      </c>
      <c r="Q49">
        <v>52350</v>
      </c>
      <c r="R49">
        <v>37.71</v>
      </c>
      <c r="S49" t="str">
        <v>12:19:31.188491008</v>
      </c>
      <c r="T49">
        <v>36.4</v>
      </c>
      <c r="U49" t="str">
        <v>10:43:49.243527936</v>
      </c>
      <c r="V49">
        <v>37.630000000000003</v>
      </c>
      <c r="W49">
        <v>159214</v>
      </c>
      <c r="X49">
        <v>2087753</v>
      </c>
      <c r="Y49">
        <v>26358</v>
      </c>
      <c r="Z49">
        <v>2106516</v>
      </c>
      <c r="AA49">
        <v>26488</v>
      </c>
      <c r="AB49">
        <v>642665</v>
      </c>
      <c r="AC49">
        <v>5701</v>
      </c>
      <c r="AD49">
        <v>679602</v>
      </c>
      <c r="AE49">
        <v>5756</v>
      </c>
      <c r="AF49">
        <v>1.3818906580999999</v>
      </c>
      <c r="AG49">
        <v>1</v>
      </c>
      <c r="AH49" t="e">
        <v>#N/A</v>
      </c>
      <c r="AI49" t="str">
        <v>None</v>
      </c>
      <c r="AJ49">
        <v>37.25</v>
      </c>
      <c r="AK49">
        <v>37.26</v>
      </c>
      <c r="AL49">
        <v>1.6433802011032108E+18</v>
      </c>
    </row>
    <row r="50" spans="2:38" x14ac:dyDescent="0.3">
      <c r="B50" t="e">
        <v>#N/A</v>
      </c>
      <c r="C50" t="e">
        <v>#N/A</v>
      </c>
      <c r="H50" t="str">
        <v>2022-01-28T21:04:50.725Z</v>
      </c>
      <c r="I50" t="str">
        <v>BBG000BS7KS3</v>
      </c>
      <c r="J50">
        <v>32840</v>
      </c>
      <c r="K50">
        <v>20220128</v>
      </c>
      <c r="L50" t="str">
        <v>TAP</v>
      </c>
      <c r="M50" t="str">
        <v>Molson Coors Beverage Company</v>
      </c>
      <c r="N50" t="str">
        <v>NYSE</v>
      </c>
      <c r="O50" t="str">
        <v>US60871R2094</v>
      </c>
      <c r="P50">
        <v>47.66</v>
      </c>
      <c r="Q50">
        <v>12363</v>
      </c>
      <c r="R50">
        <v>48.27</v>
      </c>
      <c r="S50" t="str">
        <v>15:59:00.883319040</v>
      </c>
      <c r="T50">
        <v>47.21</v>
      </c>
      <c r="U50" t="str">
        <v>10:46:29.044820224</v>
      </c>
      <c r="V50">
        <v>48.21</v>
      </c>
      <c r="W50">
        <v>110957</v>
      </c>
      <c r="X50">
        <v>652377</v>
      </c>
      <c r="Y50">
        <v>9888</v>
      </c>
      <c r="Z50">
        <v>653355</v>
      </c>
      <c r="AA50">
        <v>9934</v>
      </c>
      <c r="AB50">
        <v>214316</v>
      </c>
      <c r="AC50">
        <v>3122</v>
      </c>
      <c r="AD50">
        <v>241264</v>
      </c>
      <c r="AE50">
        <v>3178</v>
      </c>
      <c r="AF50">
        <v>2.7743231332999998</v>
      </c>
      <c r="AG50">
        <v>2</v>
      </c>
      <c r="AH50" t="e">
        <v>#N/A</v>
      </c>
      <c r="AI50" t="str">
        <v>None</v>
      </c>
      <c r="AJ50">
        <v>47.86</v>
      </c>
      <c r="AK50">
        <v>47.87</v>
      </c>
      <c r="AL50">
        <v>1.6433802010637522E+18</v>
      </c>
    </row>
    <row r="51" spans="2:38" x14ac:dyDescent="0.3">
      <c r="B51" t="e">
        <v>#N/A</v>
      </c>
      <c r="C51" t="e">
        <v>#N/A</v>
      </c>
      <c r="H51" t="str">
        <v>2022-01-31T21:04:06.339Z</v>
      </c>
      <c r="I51" t="str">
        <v>BBG000BY29C7</v>
      </c>
      <c r="J51">
        <v>35035</v>
      </c>
      <c r="K51">
        <v>20220131</v>
      </c>
      <c r="L51" t="str">
        <v>TPR</v>
      </c>
      <c r="M51" t="str">
        <v>Tapestry Inc</v>
      </c>
      <c r="N51" t="str">
        <v>NYSE</v>
      </c>
      <c r="O51" t="str">
        <v>US8760301072</v>
      </c>
      <c r="P51">
        <v>37.21</v>
      </c>
      <c r="Q51">
        <v>26821</v>
      </c>
      <c r="R51">
        <v>38.04</v>
      </c>
      <c r="S51" t="str">
        <v>10:23:46.793512192</v>
      </c>
      <c r="T51">
        <v>37.090000000000003</v>
      </c>
      <c r="U51" t="str">
        <v>09:48:31.970640896</v>
      </c>
      <c r="V51">
        <v>37.950000000000003</v>
      </c>
      <c r="W51">
        <v>280737</v>
      </c>
      <c r="X51">
        <v>1848019</v>
      </c>
      <c r="Y51">
        <v>22254</v>
      </c>
      <c r="Z51">
        <v>1850663</v>
      </c>
      <c r="AA51">
        <v>22298</v>
      </c>
      <c r="AB51">
        <v>762701</v>
      </c>
      <c r="AC51">
        <v>5562</v>
      </c>
      <c r="AD51">
        <v>900746</v>
      </c>
      <c r="AE51">
        <v>5611</v>
      </c>
      <c r="AF51">
        <v>1.3818906580999999</v>
      </c>
      <c r="AG51">
        <v>1</v>
      </c>
      <c r="AH51" t="e">
        <v>#N/A</v>
      </c>
      <c r="AI51" t="str">
        <v>None</v>
      </c>
      <c r="AJ51">
        <v>37.79</v>
      </c>
      <c r="AK51">
        <v>37.799999999999997</v>
      </c>
      <c r="AL51">
        <v>1.6436394008408463E+18</v>
      </c>
    </row>
    <row r="52" spans="2:38" x14ac:dyDescent="0.3">
      <c r="B52" t="e">
        <v>#N/A</v>
      </c>
      <c r="C52" t="e">
        <v>#N/A</v>
      </c>
      <c r="H52" t="str">
        <v>2022-01-31T21:05:11.666Z</v>
      </c>
      <c r="I52" t="str">
        <v>BBG000BS7KS3</v>
      </c>
      <c r="J52">
        <v>32840</v>
      </c>
      <c r="K52">
        <v>20220131</v>
      </c>
      <c r="L52" t="str">
        <v>TAP</v>
      </c>
      <c r="M52" t="str">
        <v>Molson Coors Beverage Company</v>
      </c>
      <c r="N52" t="str">
        <v>NYSE</v>
      </c>
      <c r="O52" t="str">
        <v>US60871R2094</v>
      </c>
      <c r="P52">
        <v>47.55</v>
      </c>
      <c r="Q52">
        <v>28251</v>
      </c>
      <c r="R52">
        <v>48.08</v>
      </c>
      <c r="S52" t="str">
        <v>13:23:16.052404992</v>
      </c>
      <c r="T52">
        <v>47.25</v>
      </c>
      <c r="U52" t="str">
        <v>09:46:18.817675264</v>
      </c>
      <c r="V52">
        <v>47.66</v>
      </c>
      <c r="W52">
        <v>346202</v>
      </c>
      <c r="X52">
        <v>1088185</v>
      </c>
      <c r="Y52">
        <v>12146</v>
      </c>
      <c r="Z52">
        <v>1088280</v>
      </c>
      <c r="AA52">
        <v>12154</v>
      </c>
      <c r="AB52">
        <v>267472</v>
      </c>
      <c r="AC52">
        <v>3981</v>
      </c>
      <c r="AD52">
        <v>332950</v>
      </c>
      <c r="AE52">
        <v>4034</v>
      </c>
      <c r="AF52">
        <v>2.7743231332999998</v>
      </c>
      <c r="AG52">
        <v>2</v>
      </c>
      <c r="AH52" t="e">
        <v>#N/A</v>
      </c>
      <c r="AI52" t="str">
        <v>None</v>
      </c>
      <c r="AJ52">
        <v>47.65</v>
      </c>
      <c r="AK52">
        <v>47.65</v>
      </c>
      <c r="AL52">
        <v>1.6436394009415506E+18</v>
      </c>
    </row>
    <row r="53" spans="2:38" x14ac:dyDescent="0.3">
      <c r="B53" t="e">
        <v>#N/A</v>
      </c>
      <c r="C53" t="e">
        <v>#N/A</v>
      </c>
      <c r="H53" t="str">
        <v>2022-02-01T21:05:40.529Z</v>
      </c>
      <c r="I53" t="str">
        <v>BBG000BY29C7</v>
      </c>
      <c r="J53">
        <v>35035</v>
      </c>
      <c r="K53">
        <v>20220201</v>
      </c>
      <c r="L53" t="str">
        <v>TPR</v>
      </c>
      <c r="M53" t="str">
        <v>Tapestry Inc</v>
      </c>
      <c r="N53" t="str">
        <v>NYSE</v>
      </c>
      <c r="O53" t="str">
        <v>US8760301072</v>
      </c>
      <c r="P53">
        <v>38.299999999999997</v>
      </c>
      <c r="Q53">
        <v>46767</v>
      </c>
      <c r="R53">
        <v>38.85</v>
      </c>
      <c r="S53" t="str">
        <v>11:13:20.646492672</v>
      </c>
      <c r="T53">
        <v>37.96</v>
      </c>
      <c r="U53" t="str">
        <v>09:30:01.222203904</v>
      </c>
      <c r="V53">
        <v>38.75</v>
      </c>
      <c r="W53">
        <v>250009</v>
      </c>
      <c r="X53">
        <v>1789928</v>
      </c>
      <c r="Y53">
        <v>23896</v>
      </c>
      <c r="Z53">
        <v>1793788</v>
      </c>
      <c r="AA53">
        <v>23944</v>
      </c>
      <c r="AB53">
        <v>582161</v>
      </c>
      <c r="AC53">
        <v>5609</v>
      </c>
      <c r="AD53">
        <v>655205</v>
      </c>
      <c r="AE53">
        <v>5664</v>
      </c>
      <c r="AF53">
        <v>1.3818906580999999</v>
      </c>
      <c r="AG53">
        <v>1</v>
      </c>
      <c r="AH53" t="e">
        <v>#N/A</v>
      </c>
      <c r="AI53" t="str">
        <v>None</v>
      </c>
      <c r="AJ53">
        <v>38.65</v>
      </c>
      <c r="AK53">
        <v>38.65</v>
      </c>
      <c r="AL53">
        <v>1.6437258008288044E+18</v>
      </c>
    </row>
    <row r="54" spans="2:38" x14ac:dyDescent="0.3">
      <c r="B54" t="e">
        <v>#N/A</v>
      </c>
      <c r="C54" t="e">
        <v>#N/A</v>
      </c>
      <c r="H54" t="str">
        <v>2022-02-01T21:06:01.766Z</v>
      </c>
      <c r="I54" t="str">
        <v>BBG000BS7KS3</v>
      </c>
      <c r="J54">
        <v>32840</v>
      </c>
      <c r="K54">
        <v>20220201</v>
      </c>
      <c r="L54" t="str">
        <v>TAP</v>
      </c>
      <c r="M54" t="str">
        <v>Molson Coors Beverage Company</v>
      </c>
      <c r="N54" t="str">
        <v>NYSE</v>
      </c>
      <c r="O54" t="str">
        <v>US60871R2094</v>
      </c>
      <c r="P54">
        <v>47.58</v>
      </c>
      <c r="Q54">
        <v>14218</v>
      </c>
      <c r="R54">
        <v>48.52</v>
      </c>
      <c r="S54" t="str">
        <v>15:28:34.769425920</v>
      </c>
      <c r="T54">
        <v>47.34</v>
      </c>
      <c r="U54" t="str">
        <v>09:34:37.509699072</v>
      </c>
      <c r="V54">
        <v>48.24</v>
      </c>
      <c r="W54">
        <v>149942</v>
      </c>
      <c r="X54">
        <v>783219</v>
      </c>
      <c r="Y54">
        <v>11615</v>
      </c>
      <c r="Z54">
        <v>784396</v>
      </c>
      <c r="AA54">
        <v>11656</v>
      </c>
      <c r="AB54">
        <v>253853</v>
      </c>
      <c r="AC54">
        <v>3814</v>
      </c>
      <c r="AD54">
        <v>306601</v>
      </c>
      <c r="AE54">
        <v>3858</v>
      </c>
      <c r="AF54">
        <v>2.7743231332999998</v>
      </c>
      <c r="AG54">
        <v>2</v>
      </c>
      <c r="AH54" t="e">
        <v>#N/A</v>
      </c>
      <c r="AI54" t="str">
        <v>None</v>
      </c>
      <c r="AJ54">
        <v>48.12</v>
      </c>
      <c r="AK54">
        <v>48.12</v>
      </c>
      <c r="AL54">
        <v>1.6437258010771105E+18</v>
      </c>
    </row>
    <row r="55" spans="2:38" x14ac:dyDescent="0.3">
      <c r="B55" t="e">
        <v>#N/A</v>
      </c>
      <c r="C55" t="e">
        <v>#N/A</v>
      </c>
      <c r="H55" t="str">
        <v>2022-02-02T21:03:23.603Z</v>
      </c>
      <c r="I55" t="str">
        <v>BBG000BY29C7</v>
      </c>
      <c r="J55">
        <v>35035</v>
      </c>
      <c r="K55">
        <v>20220202</v>
      </c>
      <c r="L55" t="str">
        <v>TPR</v>
      </c>
      <c r="M55" t="str">
        <v>Tapestry Inc</v>
      </c>
      <c r="N55" t="str">
        <v>NYSE</v>
      </c>
      <c r="O55" t="str">
        <v>US8760301072</v>
      </c>
      <c r="P55">
        <v>40.28</v>
      </c>
      <c r="Q55">
        <v>81618</v>
      </c>
      <c r="R55">
        <v>40.549999999999997</v>
      </c>
      <c r="S55" t="str">
        <v>09:32:26.401975296</v>
      </c>
      <c r="T55">
        <v>38.479999999999997</v>
      </c>
      <c r="U55" t="str">
        <v>10:27:01.224388096</v>
      </c>
      <c r="V55">
        <v>39.11</v>
      </c>
      <c r="W55">
        <v>183044</v>
      </c>
      <c r="X55">
        <v>2715314</v>
      </c>
      <c r="Y55">
        <v>33208</v>
      </c>
      <c r="Z55">
        <v>2762744</v>
      </c>
      <c r="AA55">
        <v>33668</v>
      </c>
      <c r="AB55">
        <v>1373421</v>
      </c>
      <c r="AC55">
        <v>7971</v>
      </c>
      <c r="AD55">
        <v>1455184</v>
      </c>
      <c r="AE55">
        <v>8034</v>
      </c>
      <c r="AF55">
        <v>1.3818906580999999</v>
      </c>
      <c r="AG55">
        <v>1</v>
      </c>
      <c r="AH55" t="e">
        <v>#N/A</v>
      </c>
      <c r="AI55" t="str">
        <v>None</v>
      </c>
      <c r="AJ55">
        <v>39.08</v>
      </c>
      <c r="AK55">
        <v>39.090000000000003</v>
      </c>
      <c r="AL55">
        <v>1.6438122854400256E+18</v>
      </c>
    </row>
    <row r="56" spans="2:38" x14ac:dyDescent="0.3">
      <c r="B56" t="e">
        <v>#N/A</v>
      </c>
      <c r="C56" t="e">
        <v>#N/A</v>
      </c>
      <c r="H56" t="str">
        <v>2022-02-02T21:05:36.475Z</v>
      </c>
      <c r="I56" t="str">
        <v>BBG000BS7KS3</v>
      </c>
      <c r="J56">
        <v>32840</v>
      </c>
      <c r="K56">
        <v>20220202</v>
      </c>
      <c r="L56" t="str">
        <v>TAP</v>
      </c>
      <c r="M56" t="str">
        <v>Molson Coors Beverage Company</v>
      </c>
      <c r="N56" t="str">
        <v>NYSE</v>
      </c>
      <c r="O56" t="str">
        <v>US60871R2094</v>
      </c>
      <c r="P56">
        <v>48.19</v>
      </c>
      <c r="Q56">
        <v>10898</v>
      </c>
      <c r="R56">
        <v>48.59</v>
      </c>
      <c r="S56" t="str">
        <v>09:46:03.494521856</v>
      </c>
      <c r="T56">
        <v>47.76</v>
      </c>
      <c r="U56" t="str">
        <v>11:31:25.714720000</v>
      </c>
      <c r="V56">
        <v>48.51</v>
      </c>
      <c r="W56">
        <v>181640</v>
      </c>
      <c r="X56">
        <v>765928</v>
      </c>
      <c r="Y56">
        <v>10293</v>
      </c>
      <c r="Z56">
        <v>766605</v>
      </c>
      <c r="AA56">
        <v>10315</v>
      </c>
      <c r="AB56">
        <v>350660</v>
      </c>
      <c r="AC56">
        <v>3774</v>
      </c>
      <c r="AD56">
        <v>416725</v>
      </c>
      <c r="AE56">
        <v>3827</v>
      </c>
      <c r="AF56">
        <v>2.7743231332999998</v>
      </c>
      <c r="AG56">
        <v>2</v>
      </c>
      <c r="AH56" t="e">
        <v>#N/A</v>
      </c>
      <c r="AI56" t="str">
        <v>None</v>
      </c>
      <c r="AJ56">
        <v>48.29</v>
      </c>
      <c r="AK56">
        <v>48.3</v>
      </c>
      <c r="AL56">
        <v>1.6438122010664323E+18</v>
      </c>
    </row>
    <row r="57" spans="2:38" x14ac:dyDescent="0.3">
      <c r="B57" t="e">
        <v>#N/A</v>
      </c>
      <c r="C57" t="e">
        <v>#N/A</v>
      </c>
      <c r="H57" t="str">
        <v>2022-02-03T21:05:15.723Z</v>
      </c>
      <c r="I57" t="str">
        <v>BBG000BY29C7</v>
      </c>
      <c r="J57">
        <v>35035</v>
      </c>
      <c r="K57">
        <v>20220203</v>
      </c>
      <c r="L57" t="str">
        <v>TPR</v>
      </c>
      <c r="M57" t="str">
        <v>Tapestry Inc</v>
      </c>
      <c r="N57" t="str">
        <v>NYSE</v>
      </c>
      <c r="O57" t="str">
        <v>US8760301072</v>
      </c>
      <c r="P57">
        <v>38.79</v>
      </c>
      <c r="Q57">
        <v>38097</v>
      </c>
      <c r="R57">
        <v>39.89</v>
      </c>
      <c r="S57" t="str">
        <v>10:58:06.440555776</v>
      </c>
      <c r="T57">
        <v>38.15</v>
      </c>
      <c r="U57" t="str">
        <v>15:50:56.480800256</v>
      </c>
      <c r="V57">
        <v>38.33</v>
      </c>
      <c r="W57">
        <v>230907</v>
      </c>
      <c r="X57">
        <v>2057292</v>
      </c>
      <c r="Y57">
        <v>25742</v>
      </c>
      <c r="Z57">
        <v>2062045</v>
      </c>
      <c r="AA57">
        <v>25837</v>
      </c>
      <c r="AB57">
        <v>981675</v>
      </c>
      <c r="AC57">
        <v>8196</v>
      </c>
      <c r="AD57">
        <v>1070916</v>
      </c>
      <c r="AE57">
        <v>8237</v>
      </c>
      <c r="AF57">
        <v>1.3818906580999999</v>
      </c>
      <c r="AG57">
        <v>1</v>
      </c>
      <c r="AH57" t="e">
        <v>#N/A</v>
      </c>
      <c r="AI57" t="str">
        <v>None</v>
      </c>
      <c r="AJ57">
        <v>38.78</v>
      </c>
      <c r="AK57">
        <v>38.76</v>
      </c>
      <c r="AL57">
        <v>1.6438986008560888E+18</v>
      </c>
    </row>
    <row r="58" spans="2:38" x14ac:dyDescent="0.3">
      <c r="B58" t="e">
        <v>#N/A</v>
      </c>
      <c r="C58" t="e">
        <v>#N/A</v>
      </c>
      <c r="H58" t="str">
        <v>2022-02-03T21:06:45.349Z</v>
      </c>
      <c r="I58" t="str">
        <v>BBG000BS7KS3</v>
      </c>
      <c r="J58">
        <v>32840</v>
      </c>
      <c r="K58">
        <v>20220203</v>
      </c>
      <c r="L58" t="str">
        <v>TAP</v>
      </c>
      <c r="M58" t="str">
        <v>Molson Coors Beverage Company</v>
      </c>
      <c r="N58" t="str">
        <v>NYSE</v>
      </c>
      <c r="O58" t="str">
        <v>US60871R2094</v>
      </c>
      <c r="P58">
        <v>48.57</v>
      </c>
      <c r="Q58">
        <v>10320</v>
      </c>
      <c r="R58">
        <v>49.28</v>
      </c>
      <c r="S58" t="str">
        <v>11:13:15.181385472</v>
      </c>
      <c r="T58">
        <v>48.24</v>
      </c>
      <c r="U58" t="str">
        <v>09:38:21.207153664</v>
      </c>
      <c r="V58">
        <v>48.82</v>
      </c>
      <c r="W58">
        <v>218194</v>
      </c>
      <c r="X58">
        <v>966676</v>
      </c>
      <c r="Y58">
        <v>11174</v>
      </c>
      <c r="Z58">
        <v>967477</v>
      </c>
      <c r="AA58">
        <v>11188</v>
      </c>
      <c r="AB58">
        <v>349626</v>
      </c>
      <c r="AC58">
        <v>3926</v>
      </c>
      <c r="AD58">
        <v>394039</v>
      </c>
      <c r="AE58">
        <v>3975</v>
      </c>
      <c r="AF58">
        <v>2.7743231332999998</v>
      </c>
      <c r="AG58">
        <v>2</v>
      </c>
      <c r="AH58" t="e">
        <v>#N/A</v>
      </c>
      <c r="AI58" t="str">
        <v>None</v>
      </c>
      <c r="AJ58">
        <v>48.85</v>
      </c>
      <c r="AK58">
        <v>48.85</v>
      </c>
      <c r="AL58">
        <v>1.6438986010249306E+18</v>
      </c>
    </row>
    <row r="59" spans="2:38" x14ac:dyDescent="0.3">
      <c r="B59" t="e">
        <v>#N/A</v>
      </c>
      <c r="C59" t="e">
        <v>#N/A</v>
      </c>
      <c r="H59" t="str">
        <v>2022-02-04T21:03:24.246Z</v>
      </c>
      <c r="I59" t="str">
        <v>BBG000BY29C7</v>
      </c>
      <c r="J59">
        <v>35035</v>
      </c>
      <c r="K59">
        <v>20220204</v>
      </c>
      <c r="L59" t="str">
        <v>TPR</v>
      </c>
      <c r="M59" t="str">
        <v>Tapestry Inc</v>
      </c>
      <c r="N59" t="str">
        <v>NYSE</v>
      </c>
      <c r="O59" t="str">
        <v>US8760301072</v>
      </c>
      <c r="P59">
        <v>38.03</v>
      </c>
      <c r="Q59">
        <v>29818</v>
      </c>
      <c r="R59">
        <v>38.76</v>
      </c>
      <c r="S59" t="str">
        <v>15:33:34.141284864</v>
      </c>
      <c r="T59">
        <v>37.549999999999997</v>
      </c>
      <c r="U59" t="str">
        <v>11:16:04.313224960</v>
      </c>
      <c r="V59">
        <v>38.47</v>
      </c>
      <c r="W59">
        <v>220754</v>
      </c>
      <c r="X59">
        <v>1590394</v>
      </c>
      <c r="Y59">
        <v>20385</v>
      </c>
      <c r="Z59">
        <v>1591283</v>
      </c>
      <c r="AA59">
        <v>20413</v>
      </c>
      <c r="AB59">
        <v>679900</v>
      </c>
      <c r="AC59">
        <v>6669</v>
      </c>
      <c r="AD59">
        <v>1226979</v>
      </c>
      <c r="AE59">
        <v>6705</v>
      </c>
      <c r="AF59">
        <v>1.3818906580999999</v>
      </c>
      <c r="AG59">
        <v>1</v>
      </c>
      <c r="AH59" t="e">
        <v>#N/A</v>
      </c>
      <c r="AI59" t="str">
        <v>None</v>
      </c>
      <c r="AJ59">
        <v>38.270000000000003</v>
      </c>
      <c r="AK59">
        <v>38.31</v>
      </c>
      <c r="AL59">
        <v>1.6439850008720901E+18</v>
      </c>
    </row>
    <row r="60" spans="2:38" x14ac:dyDescent="0.3">
      <c r="B60" t="e">
        <v>#N/A</v>
      </c>
      <c r="C60" t="e">
        <v>#N/A</v>
      </c>
      <c r="H60" t="str">
        <v>2022-02-04T21:04:44.283Z</v>
      </c>
      <c r="I60" t="str">
        <v>BBG000BS7KS3</v>
      </c>
      <c r="J60">
        <v>32840</v>
      </c>
      <c r="K60">
        <v>20220204</v>
      </c>
      <c r="L60" t="str">
        <v>TAP</v>
      </c>
      <c r="M60" t="str">
        <v>Molson Coors Beverage Company</v>
      </c>
      <c r="N60" t="str">
        <v>NYSE</v>
      </c>
      <c r="O60" t="str">
        <v>US60871R2094</v>
      </c>
      <c r="P60">
        <v>48.51</v>
      </c>
      <c r="Q60">
        <v>11781</v>
      </c>
      <c r="R60">
        <v>48.63</v>
      </c>
      <c r="S60" t="str">
        <v>09:33:24.179870720</v>
      </c>
      <c r="T60">
        <v>47.34</v>
      </c>
      <c r="U60" t="str">
        <v>10:38:11.453712128</v>
      </c>
      <c r="V60">
        <v>47.71</v>
      </c>
      <c r="W60">
        <v>227501</v>
      </c>
      <c r="X60">
        <v>1114935</v>
      </c>
      <c r="Y60">
        <v>14128</v>
      </c>
      <c r="Z60">
        <v>1115048</v>
      </c>
      <c r="AA60">
        <v>14140</v>
      </c>
      <c r="AB60">
        <v>515541</v>
      </c>
      <c r="AC60">
        <v>5169</v>
      </c>
      <c r="AD60">
        <v>545761</v>
      </c>
      <c r="AE60">
        <v>5198</v>
      </c>
      <c r="AF60">
        <v>2.7743231332999998</v>
      </c>
      <c r="AG60">
        <v>2</v>
      </c>
      <c r="AH60" t="e">
        <v>#N/A</v>
      </c>
      <c r="AI60" t="str">
        <v>None</v>
      </c>
      <c r="AJ60">
        <v>47.71</v>
      </c>
      <c r="AK60">
        <v>47.71</v>
      </c>
      <c r="AL60">
        <v>1.6439850009518057E+18</v>
      </c>
    </row>
    <row r="61" spans="2:38" x14ac:dyDescent="0.3">
      <c r="B61" t="e">
        <v>#N/A</v>
      </c>
      <c r="C61" t="e">
        <v>#N/A</v>
      </c>
      <c r="H61" t="str">
        <v>2022-02-07T21:03:30.665Z</v>
      </c>
      <c r="I61" t="str">
        <v>BBG000BY29C7</v>
      </c>
      <c r="J61">
        <v>35035</v>
      </c>
      <c r="K61">
        <v>20220207</v>
      </c>
      <c r="L61" t="str">
        <v>TPR</v>
      </c>
      <c r="M61" t="str">
        <v>Tapestry Inc</v>
      </c>
      <c r="N61" t="str">
        <v>NYSE</v>
      </c>
      <c r="O61" t="str">
        <v>US8760301072</v>
      </c>
      <c r="P61">
        <v>38.520000000000003</v>
      </c>
      <c r="Q61">
        <v>18959</v>
      </c>
      <c r="R61">
        <v>38.93</v>
      </c>
      <c r="S61" t="str">
        <v>09:32:19.862056448</v>
      </c>
      <c r="T61">
        <v>38.119999999999997</v>
      </c>
      <c r="U61" t="str">
        <v>11:44:20.961406464</v>
      </c>
      <c r="V61">
        <v>38.65</v>
      </c>
      <c r="W61">
        <v>270207</v>
      </c>
      <c r="X61">
        <v>2274478</v>
      </c>
      <c r="Y61">
        <v>23923</v>
      </c>
      <c r="Z61">
        <v>2275893</v>
      </c>
      <c r="AA61">
        <v>23961</v>
      </c>
      <c r="AB61">
        <v>861681</v>
      </c>
      <c r="AC61">
        <v>7144</v>
      </c>
      <c r="AD61">
        <v>1046644</v>
      </c>
      <c r="AE61">
        <v>7162</v>
      </c>
      <c r="AF61">
        <v>1.3818906580999999</v>
      </c>
      <c r="AG61">
        <v>1</v>
      </c>
      <c r="AH61" t="e">
        <v>#N/A</v>
      </c>
      <c r="AI61" t="str">
        <v>None</v>
      </c>
      <c r="AJ61">
        <v>38.54</v>
      </c>
      <c r="AK61">
        <v>38.549999999999997</v>
      </c>
      <c r="AL61">
        <v>1.6442442009041236E+18</v>
      </c>
    </row>
    <row r="62" spans="2:38" x14ac:dyDescent="0.3">
      <c r="B62" t="e">
        <v>#N/A</v>
      </c>
      <c r="C62" t="e">
        <v>#N/A</v>
      </c>
      <c r="H62" t="str">
        <v>2022-02-07T21:05:06.449Z</v>
      </c>
      <c r="I62" t="str">
        <v>BBG000BS7KS3</v>
      </c>
      <c r="J62">
        <v>32840</v>
      </c>
      <c r="K62">
        <v>20220207</v>
      </c>
      <c r="L62" t="str">
        <v>TAP</v>
      </c>
      <c r="M62" t="str">
        <v>Molson Coors Beverage Company</v>
      </c>
      <c r="N62" t="str">
        <v>NYSE</v>
      </c>
      <c r="O62" t="str">
        <v>US60871R2094</v>
      </c>
      <c r="P62">
        <v>47.94</v>
      </c>
      <c r="Q62">
        <v>12105</v>
      </c>
      <c r="R62">
        <v>48.1</v>
      </c>
      <c r="S62" t="str">
        <v>11:31:09.408060928</v>
      </c>
      <c r="T62">
        <v>47.35</v>
      </c>
      <c r="U62" t="str">
        <v>15:56:09.400903424</v>
      </c>
      <c r="V62">
        <v>47.44</v>
      </c>
      <c r="W62">
        <v>190184</v>
      </c>
      <c r="X62">
        <v>851029</v>
      </c>
      <c r="Y62">
        <v>12009</v>
      </c>
      <c r="Z62">
        <v>852538</v>
      </c>
      <c r="AA62">
        <v>12035</v>
      </c>
      <c r="AB62">
        <v>284734</v>
      </c>
      <c r="AC62">
        <v>3389</v>
      </c>
      <c r="AD62">
        <v>321700</v>
      </c>
      <c r="AE62">
        <v>3407</v>
      </c>
      <c r="AF62">
        <v>2.7743231332999998</v>
      </c>
      <c r="AG62">
        <v>2</v>
      </c>
      <c r="AH62" t="e">
        <v>#N/A</v>
      </c>
      <c r="AI62" t="str">
        <v>None</v>
      </c>
      <c r="AJ62">
        <v>47.62</v>
      </c>
      <c r="AK62">
        <v>47.61</v>
      </c>
      <c r="AL62">
        <v>1.6442442010614776E+18</v>
      </c>
    </row>
    <row r="63" spans="2:38" x14ac:dyDescent="0.3">
      <c r="B63" t="e">
        <v>#N/A</v>
      </c>
      <c r="C63" t="e">
        <v>#N/A</v>
      </c>
      <c r="H63" t="str">
        <v>2022-02-08T21:02:52.499Z</v>
      </c>
      <c r="I63" t="str">
        <v>BBG000BY29C7</v>
      </c>
      <c r="J63">
        <v>35035</v>
      </c>
      <c r="K63">
        <v>20220208</v>
      </c>
      <c r="L63" t="str">
        <v>TPR</v>
      </c>
      <c r="M63" t="str">
        <v>Tapestry Inc</v>
      </c>
      <c r="N63" t="str">
        <v>NYSE</v>
      </c>
      <c r="O63" t="str">
        <v>US8760301072</v>
      </c>
      <c r="P63">
        <v>38.83</v>
      </c>
      <c r="Q63">
        <v>15210</v>
      </c>
      <c r="R63">
        <v>39.880000000000003</v>
      </c>
      <c r="S63" t="str">
        <v>11:52:03.272667136</v>
      </c>
      <c r="T63">
        <v>38.549999999999997</v>
      </c>
      <c r="U63" t="str">
        <v>09:36:09.493087232</v>
      </c>
      <c r="V63">
        <v>39.590000000000003</v>
      </c>
      <c r="W63">
        <v>757021</v>
      </c>
      <c r="X63">
        <v>3465090</v>
      </c>
      <c r="Y63">
        <v>28375</v>
      </c>
      <c r="Z63">
        <v>3470186</v>
      </c>
      <c r="AA63">
        <v>28449</v>
      </c>
      <c r="AB63">
        <v>1396439</v>
      </c>
      <c r="AC63">
        <v>9788</v>
      </c>
      <c r="AD63">
        <v>1439417</v>
      </c>
      <c r="AE63">
        <v>9813</v>
      </c>
      <c r="AF63">
        <v>1.3818906580999999</v>
      </c>
      <c r="AG63">
        <v>1</v>
      </c>
      <c r="AH63" t="e">
        <v>#N/A</v>
      </c>
      <c r="AI63" t="str">
        <v>None</v>
      </c>
      <c r="AJ63">
        <v>39.54</v>
      </c>
      <c r="AK63">
        <v>39.54</v>
      </c>
      <c r="AL63">
        <v>1.6443306009363965E+18</v>
      </c>
    </row>
    <row r="64" spans="2:38" x14ac:dyDescent="0.3">
      <c r="B64" t="e">
        <v>#N/A</v>
      </c>
      <c r="C64" t="e">
        <v>#N/A</v>
      </c>
      <c r="H64" t="str">
        <v>2022-02-08T21:05:15.079Z</v>
      </c>
      <c r="I64" t="str">
        <v>BBG000BS7KS3</v>
      </c>
      <c r="J64">
        <v>32840</v>
      </c>
      <c r="K64">
        <v>20220208</v>
      </c>
      <c r="L64" t="str">
        <v>TAP</v>
      </c>
      <c r="M64" t="str">
        <v>Molson Coors Beverage Company</v>
      </c>
      <c r="N64" t="str">
        <v>NYSE</v>
      </c>
      <c r="O64" t="str">
        <v>US60871R2094</v>
      </c>
      <c r="P64">
        <v>47.92</v>
      </c>
      <c r="Q64">
        <v>10181</v>
      </c>
      <c r="R64">
        <v>48.94</v>
      </c>
      <c r="S64" t="str">
        <v>10:46:20.980415232</v>
      </c>
      <c r="T64">
        <v>47.78</v>
      </c>
      <c r="U64" t="str">
        <v>09:36:23.506397440</v>
      </c>
      <c r="V64">
        <v>48.4</v>
      </c>
      <c r="W64">
        <v>133385</v>
      </c>
      <c r="X64">
        <v>951388</v>
      </c>
      <c r="Y64">
        <v>13673</v>
      </c>
      <c r="Z64">
        <v>951479</v>
      </c>
      <c r="AA64">
        <v>13685</v>
      </c>
      <c r="AB64">
        <v>413454</v>
      </c>
      <c r="AC64">
        <v>4586</v>
      </c>
      <c r="AD64">
        <v>646850</v>
      </c>
      <c r="AE64">
        <v>4627</v>
      </c>
      <c r="AF64">
        <v>2.7743231332999998</v>
      </c>
      <c r="AG64">
        <v>2</v>
      </c>
      <c r="AH64" t="e">
        <v>#N/A</v>
      </c>
      <c r="AI64" t="str">
        <v>None</v>
      </c>
      <c r="AJ64">
        <v>48.48</v>
      </c>
      <c r="AK64">
        <v>48.47</v>
      </c>
      <c r="AL64">
        <v>1.6443306010275185E+18</v>
      </c>
    </row>
    <row r="65" spans="2:38" x14ac:dyDescent="0.3">
      <c r="B65" t="e">
        <v>#N/A</v>
      </c>
      <c r="C65" t="e">
        <v>#N/A</v>
      </c>
      <c r="H65" t="str">
        <v>2022-02-09T21:03:04.406Z</v>
      </c>
      <c r="I65" t="str">
        <v>BBG000BY29C7</v>
      </c>
      <c r="J65">
        <v>35035</v>
      </c>
      <c r="K65">
        <v>20220209</v>
      </c>
      <c r="L65" t="str">
        <v>TPR</v>
      </c>
      <c r="M65" t="str">
        <v>Tapestry Inc</v>
      </c>
      <c r="N65" t="str">
        <v>NYSE</v>
      </c>
      <c r="O65" t="str">
        <v>US8760301072</v>
      </c>
      <c r="P65">
        <v>39.97</v>
      </c>
      <c r="Q65">
        <v>29896</v>
      </c>
      <c r="R65">
        <v>40.79</v>
      </c>
      <c r="S65" t="str">
        <v>15:59:29.194135040</v>
      </c>
      <c r="T65">
        <v>39.61</v>
      </c>
      <c r="U65" t="str">
        <v>09:34:28.410512384</v>
      </c>
      <c r="V65">
        <v>40.71</v>
      </c>
      <c r="W65">
        <v>307125</v>
      </c>
      <c r="X65">
        <v>2380024</v>
      </c>
      <c r="Y65">
        <v>26933</v>
      </c>
      <c r="Z65">
        <v>2402703</v>
      </c>
      <c r="AA65">
        <v>27240</v>
      </c>
      <c r="AB65">
        <v>1509263</v>
      </c>
      <c r="AC65">
        <v>8891</v>
      </c>
      <c r="AD65">
        <v>1556538</v>
      </c>
      <c r="AE65">
        <v>8944</v>
      </c>
      <c r="AF65">
        <v>1.3818906580999999</v>
      </c>
      <c r="AG65">
        <v>1</v>
      </c>
      <c r="AH65" t="e">
        <v>#N/A</v>
      </c>
      <c r="AI65" t="str">
        <v>None</v>
      </c>
      <c r="AJ65">
        <v>40.5</v>
      </c>
      <c r="AK65">
        <v>40.51</v>
      </c>
      <c r="AL65">
        <v>1.6444170008643302E+18</v>
      </c>
    </row>
    <row r="66" spans="2:38" x14ac:dyDescent="0.3">
      <c r="B66" t="e">
        <v>#N/A</v>
      </c>
      <c r="C66" t="e">
        <v>#N/A</v>
      </c>
      <c r="H66" t="str">
        <v>2022-02-09T21:04:26.998Z</v>
      </c>
      <c r="I66" t="str">
        <v>BBG000BS7KS3</v>
      </c>
      <c r="J66">
        <v>32840</v>
      </c>
      <c r="K66">
        <v>20220209</v>
      </c>
      <c r="L66" t="str">
        <v>TAP</v>
      </c>
      <c r="M66" t="str">
        <v>Molson Coors Beverage Company</v>
      </c>
      <c r="N66" t="str">
        <v>NYSE</v>
      </c>
      <c r="O66" t="str">
        <v>US60871R2094</v>
      </c>
      <c r="P66">
        <v>48.65</v>
      </c>
      <c r="Q66">
        <v>8864</v>
      </c>
      <c r="R66">
        <v>49.41</v>
      </c>
      <c r="S66" t="str">
        <v>14:28:20.521373696</v>
      </c>
      <c r="T66">
        <v>48.61</v>
      </c>
      <c r="U66" t="str">
        <v>09:33:40.536178432</v>
      </c>
      <c r="V66">
        <v>49.1</v>
      </c>
      <c r="W66">
        <v>119393</v>
      </c>
      <c r="X66">
        <v>824644</v>
      </c>
      <c r="Y66">
        <v>12845</v>
      </c>
      <c r="Z66">
        <v>825791</v>
      </c>
      <c r="AA66">
        <v>12859</v>
      </c>
      <c r="AB66">
        <v>315800</v>
      </c>
      <c r="AC66">
        <v>6033</v>
      </c>
      <c r="AD66">
        <v>325691</v>
      </c>
      <c r="AE66">
        <v>6053</v>
      </c>
      <c r="AF66">
        <v>2.7743231332999998</v>
      </c>
      <c r="AG66">
        <v>2</v>
      </c>
      <c r="AH66" t="e">
        <v>#N/A</v>
      </c>
      <c r="AI66" t="str">
        <v>None</v>
      </c>
      <c r="AJ66">
        <v>49.12</v>
      </c>
      <c r="AK66">
        <v>49.12</v>
      </c>
      <c r="AL66">
        <v>1.6444170009603891E+18</v>
      </c>
    </row>
    <row r="67" spans="2:38" x14ac:dyDescent="0.3">
      <c r="B67" t="e">
        <v>#N/A</v>
      </c>
      <c r="C67" t="e">
        <v>#N/A</v>
      </c>
      <c r="H67" t="str">
        <v>2022-02-10T21:02:37.984Z</v>
      </c>
      <c r="I67" t="str">
        <v>BBG000BY29C7</v>
      </c>
      <c r="J67">
        <v>35035</v>
      </c>
      <c r="K67">
        <v>20220210</v>
      </c>
      <c r="L67" t="str">
        <v>TPR</v>
      </c>
      <c r="M67" t="str">
        <v>Tapestry Inc</v>
      </c>
      <c r="N67" t="str">
        <v>NYSE</v>
      </c>
      <c r="O67" t="str">
        <v>US8760301072</v>
      </c>
      <c r="P67">
        <v>40.31</v>
      </c>
      <c r="Q67">
        <v>54971</v>
      </c>
      <c r="R67">
        <v>42.12</v>
      </c>
      <c r="S67" t="str">
        <v>10:09:35.091293184</v>
      </c>
      <c r="T67">
        <v>40.200000000000003</v>
      </c>
      <c r="U67" t="str">
        <v>09:31:14.695983360</v>
      </c>
      <c r="V67">
        <v>40.72</v>
      </c>
      <c r="W67">
        <v>500882</v>
      </c>
      <c r="X67">
        <v>3611643</v>
      </c>
      <c r="Y67">
        <v>37552</v>
      </c>
      <c r="Z67">
        <v>3728564</v>
      </c>
      <c r="AA67">
        <v>38571</v>
      </c>
      <c r="AB67">
        <v>1505363</v>
      </c>
      <c r="AC67">
        <v>10340</v>
      </c>
      <c r="AD67">
        <v>1599470</v>
      </c>
      <c r="AE67">
        <v>10492</v>
      </c>
      <c r="AF67">
        <v>1.3818906580999999</v>
      </c>
      <c r="AG67">
        <v>1</v>
      </c>
      <c r="AH67" t="e">
        <v>#N/A</v>
      </c>
      <c r="AI67" t="str">
        <v>None</v>
      </c>
      <c r="AJ67">
        <v>41.19</v>
      </c>
      <c r="AK67">
        <v>41.2</v>
      </c>
      <c r="AL67">
        <v>1.6445034746933107E+18</v>
      </c>
    </row>
    <row r="68" spans="2:38" x14ac:dyDescent="0.3">
      <c r="B68" t="e">
        <v>#N/A</v>
      </c>
      <c r="C68" t="e">
        <v>#N/A</v>
      </c>
      <c r="H68" t="str">
        <v>2022-02-10T21:05:01.129Z</v>
      </c>
      <c r="I68" t="str">
        <v>BBG000BS7KS3</v>
      </c>
      <c r="J68">
        <v>32840</v>
      </c>
      <c r="K68">
        <v>20220210</v>
      </c>
      <c r="L68" t="str">
        <v>TAP</v>
      </c>
      <c r="M68" t="str">
        <v>Molson Coors Beverage Company</v>
      </c>
      <c r="N68" t="str">
        <v>NYSE</v>
      </c>
      <c r="O68" t="str">
        <v>US60871R2094</v>
      </c>
      <c r="P68">
        <v>48.92</v>
      </c>
      <c r="Q68">
        <v>12934</v>
      </c>
      <c r="R68">
        <v>49.7</v>
      </c>
      <c r="S68" t="str">
        <v>10:14:52.811961344</v>
      </c>
      <c r="T68">
        <v>48.68</v>
      </c>
      <c r="U68" t="str">
        <v>14:21:24.286909184</v>
      </c>
      <c r="V68">
        <v>49.23</v>
      </c>
      <c r="W68">
        <v>138214</v>
      </c>
      <c r="X68">
        <v>1014202</v>
      </c>
      <c r="Y68">
        <v>14060</v>
      </c>
      <c r="Z68">
        <v>1014259</v>
      </c>
      <c r="AA68">
        <v>14068</v>
      </c>
      <c r="AB68">
        <v>310828</v>
      </c>
      <c r="AC68">
        <v>3398</v>
      </c>
      <c r="AD68">
        <v>344683</v>
      </c>
      <c r="AE68">
        <v>3432</v>
      </c>
      <c r="AF68">
        <v>2.7743231332999998</v>
      </c>
      <c r="AG68">
        <v>2</v>
      </c>
      <c r="AH68" t="e">
        <v>#N/A</v>
      </c>
      <c r="AI68" t="str">
        <v>None</v>
      </c>
      <c r="AJ68">
        <v>49.23</v>
      </c>
      <c r="AK68">
        <v>49.23</v>
      </c>
      <c r="AL68">
        <v>1.6445034010573596E+18</v>
      </c>
    </row>
    <row r="69" spans="2:38" x14ac:dyDescent="0.3">
      <c r="B69" t="e">
        <v>#N/A</v>
      </c>
      <c r="C69" t="e">
        <v>#N/A</v>
      </c>
      <c r="H69" t="str">
        <v>2022-02-11T21:03:10.451Z</v>
      </c>
      <c r="I69" t="str">
        <v>BBG000BY29C7</v>
      </c>
      <c r="J69">
        <v>35035</v>
      </c>
      <c r="K69">
        <v>20220211</v>
      </c>
      <c r="L69" t="str">
        <v>TPR</v>
      </c>
      <c r="M69" t="str">
        <v>Tapestry Inc</v>
      </c>
      <c r="N69" t="str">
        <v>NYSE</v>
      </c>
      <c r="O69" t="str">
        <v>US8760301072</v>
      </c>
      <c r="P69">
        <v>40.700000000000003</v>
      </c>
      <c r="Q69">
        <v>29053</v>
      </c>
      <c r="R69">
        <v>40.74</v>
      </c>
      <c r="S69" t="str">
        <v>09:30:01.229597440</v>
      </c>
      <c r="T69">
        <v>38.94</v>
      </c>
      <c r="U69" t="str">
        <v>14:53:46.756198400</v>
      </c>
      <c r="V69">
        <v>39.18</v>
      </c>
      <c r="W69">
        <v>327399</v>
      </c>
      <c r="X69">
        <v>3207625</v>
      </c>
      <c r="Y69">
        <v>34242</v>
      </c>
      <c r="Z69">
        <v>3213071</v>
      </c>
      <c r="AA69">
        <v>34398</v>
      </c>
      <c r="AB69">
        <v>789358</v>
      </c>
      <c r="AC69">
        <v>7002</v>
      </c>
      <c r="AD69">
        <v>1588444</v>
      </c>
      <c r="AE69">
        <v>7023</v>
      </c>
      <c r="AF69">
        <v>1.3818906580999999</v>
      </c>
      <c r="AG69">
        <v>1</v>
      </c>
      <c r="AH69" t="e">
        <v>#N/A</v>
      </c>
      <c r="AI69" t="str">
        <v>None</v>
      </c>
      <c r="AJ69">
        <v>39.729999999999997</v>
      </c>
      <c r="AK69">
        <v>39.700000000000003</v>
      </c>
      <c r="AL69">
        <v>1.6445898008485888E+18</v>
      </c>
    </row>
    <row r="70" spans="2:38" x14ac:dyDescent="0.3">
      <c r="B70" t="e">
        <v>#N/A</v>
      </c>
      <c r="C70" t="e">
        <v>#N/A</v>
      </c>
      <c r="H70" t="str">
        <v>2022-02-11T21:04:33.630Z</v>
      </c>
      <c r="I70" t="str">
        <v>BBG000BS7KS3</v>
      </c>
      <c r="J70">
        <v>32840</v>
      </c>
      <c r="K70">
        <v>20220211</v>
      </c>
      <c r="L70" t="str">
        <v>TAP</v>
      </c>
      <c r="M70" t="str">
        <v>Molson Coors Beverage Company</v>
      </c>
      <c r="N70" t="str">
        <v>NYSE</v>
      </c>
      <c r="O70" t="str">
        <v>US60871R2094</v>
      </c>
      <c r="P70">
        <v>49.18</v>
      </c>
      <c r="Q70">
        <v>7086</v>
      </c>
      <c r="R70">
        <v>50</v>
      </c>
      <c r="S70" t="str">
        <v>15:50:00.002828288</v>
      </c>
      <c r="T70">
        <v>49.06</v>
      </c>
      <c r="U70" t="str">
        <v>09:30:46.001666816</v>
      </c>
      <c r="V70">
        <v>49.79</v>
      </c>
      <c r="W70">
        <v>163747</v>
      </c>
      <c r="X70">
        <v>1008292</v>
      </c>
      <c r="Y70">
        <v>14555</v>
      </c>
      <c r="Z70">
        <v>1009307</v>
      </c>
      <c r="AA70">
        <v>14559</v>
      </c>
      <c r="AB70">
        <v>258264</v>
      </c>
      <c r="AC70">
        <v>3609</v>
      </c>
      <c r="AD70">
        <v>323873</v>
      </c>
      <c r="AE70">
        <v>3625</v>
      </c>
      <c r="AF70">
        <v>2.7743231332999998</v>
      </c>
      <c r="AG70">
        <v>2</v>
      </c>
      <c r="AH70" t="e">
        <v>#N/A</v>
      </c>
      <c r="AI70" t="str">
        <v>None</v>
      </c>
      <c r="AJ70">
        <v>49.7</v>
      </c>
      <c r="AK70">
        <v>49.71</v>
      </c>
      <c r="AL70">
        <v>1.6445898010466094E+18</v>
      </c>
    </row>
    <row r="71" spans="2:38" x14ac:dyDescent="0.3">
      <c r="B71" t="e">
        <v>#N/A</v>
      </c>
      <c r="C71" t="e">
        <v>#N/A</v>
      </c>
      <c r="H71" t="str">
        <v>2022-02-14T21:02:35Z</v>
      </c>
      <c r="I71" t="str">
        <v>BBG000BS7KS3</v>
      </c>
      <c r="J71">
        <v>32840</v>
      </c>
      <c r="K71">
        <v>20220214</v>
      </c>
      <c r="L71" t="str">
        <v>TAP</v>
      </c>
      <c r="M71" t="str">
        <v>Molson Coors Beverage Company</v>
      </c>
      <c r="N71" t="str">
        <v>NYSE</v>
      </c>
      <c r="O71" t="str">
        <v>US60871R2094</v>
      </c>
      <c r="P71">
        <v>50.07</v>
      </c>
      <c r="Q71">
        <v>12057</v>
      </c>
      <c r="R71">
        <v>50.07</v>
      </c>
      <c r="S71" t="str">
        <v>09:30:37.931480832</v>
      </c>
      <c r="T71">
        <v>48.69</v>
      </c>
      <c r="U71" t="str">
        <v>10:57:15.029927680</v>
      </c>
      <c r="V71">
        <v>49.41</v>
      </c>
      <c r="W71">
        <v>307265</v>
      </c>
      <c r="X71">
        <v>896012</v>
      </c>
      <c r="Y71">
        <v>9363</v>
      </c>
      <c r="Z71">
        <v>898553</v>
      </c>
      <c r="AA71">
        <v>9368</v>
      </c>
      <c r="AB71">
        <v>225238</v>
      </c>
      <c r="AC71">
        <v>3079</v>
      </c>
      <c r="AD71">
        <v>272382</v>
      </c>
      <c r="AE71">
        <v>3107</v>
      </c>
      <c r="AF71">
        <v>2.7743231332999998</v>
      </c>
      <c r="AG71">
        <v>2</v>
      </c>
      <c r="AH71" t="e">
        <v>#N/A</v>
      </c>
      <c r="AI71" t="str">
        <v>None</v>
      </c>
      <c r="AJ71">
        <v>49.27</v>
      </c>
      <c r="AK71">
        <v>49.27</v>
      </c>
      <c r="AL71">
        <v>1.6448490011218614E+18</v>
      </c>
    </row>
    <row r="72" spans="2:38" x14ac:dyDescent="0.3">
      <c r="B72" t="e">
        <v>#N/A</v>
      </c>
      <c r="C72" t="e">
        <v>#N/A</v>
      </c>
      <c r="H72" t="str">
        <v>2022-02-14T21:05:03.184Z</v>
      </c>
      <c r="I72" t="str">
        <v>BBG000BY29C7</v>
      </c>
      <c r="J72">
        <v>35035</v>
      </c>
      <c r="K72">
        <v>20220214</v>
      </c>
      <c r="L72" t="str">
        <v>TPR</v>
      </c>
      <c r="M72" t="str">
        <v>Tapestry Inc</v>
      </c>
      <c r="N72" t="str">
        <v>NYSE</v>
      </c>
      <c r="O72" t="str">
        <v>US8760301072</v>
      </c>
      <c r="P72">
        <v>39.44</v>
      </c>
      <c r="Q72">
        <v>52006</v>
      </c>
      <c r="R72">
        <v>39.68</v>
      </c>
      <c r="S72" t="str">
        <v>12:48:23.272355072</v>
      </c>
      <c r="T72">
        <v>38.729999999999997</v>
      </c>
      <c r="U72" t="str">
        <v>10:38:08.301586688</v>
      </c>
      <c r="V72">
        <v>39.049999999999997</v>
      </c>
      <c r="W72">
        <v>588487</v>
      </c>
      <c r="X72">
        <v>3041981</v>
      </c>
      <c r="Y72">
        <v>30122</v>
      </c>
      <c r="Z72">
        <v>3046048</v>
      </c>
      <c r="AA72">
        <v>30172</v>
      </c>
      <c r="AB72">
        <v>677736</v>
      </c>
      <c r="AC72">
        <v>5978</v>
      </c>
      <c r="AD72">
        <v>744387</v>
      </c>
      <c r="AE72">
        <v>6006</v>
      </c>
      <c r="AF72">
        <v>1.3818906580999999</v>
      </c>
      <c r="AG72">
        <v>1</v>
      </c>
      <c r="AH72" t="e">
        <v>#N/A</v>
      </c>
      <c r="AI72" t="str">
        <v>None</v>
      </c>
      <c r="AJ72">
        <v>39.21</v>
      </c>
      <c r="AK72">
        <v>39.200000000000003</v>
      </c>
      <c r="AL72">
        <v>1.6448490009201157E+18</v>
      </c>
    </row>
    <row r="73" spans="2:38" x14ac:dyDescent="0.3">
      <c r="B73" t="e">
        <v>#N/A</v>
      </c>
      <c r="C73" t="e">
        <v>#N/A</v>
      </c>
      <c r="H73" t="str">
        <v>2022-02-15T21:03:14.122Z</v>
      </c>
      <c r="I73" t="str">
        <v>BBG000BY29C7</v>
      </c>
      <c r="J73">
        <v>35035</v>
      </c>
      <c r="K73">
        <v>20220215</v>
      </c>
      <c r="L73" t="str">
        <v>TPR</v>
      </c>
      <c r="M73" t="str">
        <v>Tapestry Inc</v>
      </c>
      <c r="N73" t="str">
        <v>NYSE</v>
      </c>
      <c r="O73" t="str">
        <v>US8760301072</v>
      </c>
      <c r="P73">
        <v>39.61</v>
      </c>
      <c r="Q73">
        <v>22752</v>
      </c>
      <c r="R73">
        <v>40.96</v>
      </c>
      <c r="S73" t="str">
        <v>12:01:25.785548544</v>
      </c>
      <c r="T73">
        <v>39.68</v>
      </c>
      <c r="U73" t="str">
        <v>09:30:04.338910720</v>
      </c>
      <c r="V73">
        <v>40.72</v>
      </c>
      <c r="W73">
        <v>244724</v>
      </c>
      <c r="X73">
        <v>2321928</v>
      </c>
      <c r="Y73">
        <v>27381</v>
      </c>
      <c r="Z73">
        <v>2324867</v>
      </c>
      <c r="AA73">
        <v>27443</v>
      </c>
      <c r="AB73">
        <v>875464</v>
      </c>
      <c r="AC73">
        <v>7367</v>
      </c>
      <c r="AD73">
        <v>940637</v>
      </c>
      <c r="AE73">
        <v>7386</v>
      </c>
      <c r="AF73">
        <v>1.3818906580999999</v>
      </c>
      <c r="AG73">
        <v>1</v>
      </c>
      <c r="AH73" t="e">
        <v>#N/A</v>
      </c>
      <c r="AI73" t="str">
        <v>None</v>
      </c>
      <c r="AJ73">
        <v>40.590000000000003</v>
      </c>
      <c r="AK73">
        <v>40.590000000000003</v>
      </c>
      <c r="AL73">
        <v>1.6449354008535831E+18</v>
      </c>
    </row>
    <row r="74" spans="2:38" x14ac:dyDescent="0.3">
      <c r="B74" t="e">
        <v>#N/A</v>
      </c>
      <c r="C74" t="e">
        <v>#N/A</v>
      </c>
      <c r="H74" t="str">
        <v>2022-02-15T21:04:31.506Z</v>
      </c>
      <c r="I74" t="str">
        <v>BBG000BS7KS3</v>
      </c>
      <c r="J74">
        <v>32840</v>
      </c>
      <c r="K74">
        <v>20220215</v>
      </c>
      <c r="L74" t="str">
        <v>TAP</v>
      </c>
      <c r="M74" t="str">
        <v>Molson Coors Beverage Company</v>
      </c>
      <c r="N74" t="str">
        <v>NYSE</v>
      </c>
      <c r="O74" t="str">
        <v>US60871R2094</v>
      </c>
      <c r="P74">
        <v>49.44</v>
      </c>
      <c r="Q74">
        <v>10011</v>
      </c>
      <c r="R74">
        <v>50.17</v>
      </c>
      <c r="S74" t="str">
        <v>09:41:49.855354880</v>
      </c>
      <c r="T74">
        <v>49.28</v>
      </c>
      <c r="U74" t="str">
        <v>15:46:36.955817216</v>
      </c>
      <c r="V74">
        <v>49.52</v>
      </c>
      <c r="W74">
        <v>210635</v>
      </c>
      <c r="X74">
        <v>759275</v>
      </c>
      <c r="Y74">
        <v>10911</v>
      </c>
      <c r="Z74">
        <v>760671</v>
      </c>
      <c r="AA74">
        <v>10917</v>
      </c>
      <c r="AB74">
        <v>204231</v>
      </c>
      <c r="AC74">
        <v>3369</v>
      </c>
      <c r="AD74">
        <v>216257</v>
      </c>
      <c r="AE74">
        <v>3391</v>
      </c>
      <c r="AF74">
        <v>2.7743231332999998</v>
      </c>
      <c r="AG74">
        <v>2</v>
      </c>
      <c r="AH74" t="e">
        <v>#N/A</v>
      </c>
      <c r="AI74" t="str">
        <v>None</v>
      </c>
      <c r="AJ74">
        <v>49.62</v>
      </c>
      <c r="AK74">
        <v>49.62</v>
      </c>
      <c r="AL74">
        <v>1.644935401008608E+18</v>
      </c>
    </row>
    <row r="75" spans="2:38" x14ac:dyDescent="0.3">
      <c r="B75" t="e">
        <v>#N/A</v>
      </c>
      <c r="C75" t="e">
        <v>#N/A</v>
      </c>
      <c r="H75" t="str">
        <v>2022-02-16T21:03:15.128Z</v>
      </c>
      <c r="I75" t="str">
        <v>BBG000BY29C7</v>
      </c>
      <c r="J75">
        <v>35035</v>
      </c>
      <c r="K75">
        <v>20220216</v>
      </c>
      <c r="L75" t="str">
        <v>TPR</v>
      </c>
      <c r="M75" t="str">
        <v>Tapestry Inc</v>
      </c>
      <c r="N75" t="str">
        <v>NYSE</v>
      </c>
      <c r="O75" t="str">
        <v>US8760301072</v>
      </c>
      <c r="P75">
        <v>40.49</v>
      </c>
      <c r="Q75">
        <v>19796</v>
      </c>
      <c r="R75">
        <v>41.22</v>
      </c>
      <c r="S75" t="str">
        <v>11:38:54.830813696</v>
      </c>
      <c r="T75">
        <v>40.36</v>
      </c>
      <c r="U75" t="str">
        <v>09:30:17.318665216</v>
      </c>
      <c r="V75">
        <v>40.93</v>
      </c>
      <c r="W75">
        <v>264257</v>
      </c>
      <c r="X75">
        <v>2540121</v>
      </c>
      <c r="Y75">
        <v>29509</v>
      </c>
      <c r="Z75">
        <v>2540519</v>
      </c>
      <c r="AA75">
        <v>29527</v>
      </c>
      <c r="AB75">
        <v>843619</v>
      </c>
      <c r="AC75">
        <v>6369</v>
      </c>
      <c r="AD75">
        <v>873892</v>
      </c>
      <c r="AE75">
        <v>6390</v>
      </c>
      <c r="AF75">
        <v>1.3818906580999999</v>
      </c>
      <c r="AG75">
        <v>1</v>
      </c>
      <c r="AH75" t="e">
        <v>#N/A</v>
      </c>
      <c r="AI75" t="str">
        <v>None</v>
      </c>
      <c r="AJ75">
        <v>40.92</v>
      </c>
      <c r="AK75">
        <v>40.92</v>
      </c>
      <c r="AL75">
        <v>1.6450218008985892E+18</v>
      </c>
    </row>
    <row r="76" spans="2:38" x14ac:dyDescent="0.3">
      <c r="H76" t="str">
        <v>2022-02-16T21:04:37.400Z</v>
      </c>
      <c r="I76" t="str">
        <v>BBG000BS7KS3</v>
      </c>
      <c r="J76">
        <v>32840</v>
      </c>
      <c r="K76">
        <v>20220216</v>
      </c>
      <c r="L76" t="str">
        <v>TAP</v>
      </c>
      <c r="M76" t="str">
        <v>Molson Coors Beverage Company</v>
      </c>
      <c r="N76" t="str">
        <v>NYSE</v>
      </c>
      <c r="O76" t="str">
        <v>US60871R2094</v>
      </c>
      <c r="P76">
        <v>49.45</v>
      </c>
      <c r="Q76">
        <v>10643</v>
      </c>
      <c r="R76">
        <v>50.35</v>
      </c>
      <c r="S76" t="str">
        <v>09:46:18.748859136</v>
      </c>
      <c r="T76">
        <v>49.15</v>
      </c>
      <c r="U76" t="str">
        <v>14:02:32.185455616</v>
      </c>
      <c r="V76">
        <v>49.44</v>
      </c>
      <c r="W76">
        <v>128556</v>
      </c>
      <c r="X76">
        <v>651992</v>
      </c>
      <c r="Y76">
        <v>11453</v>
      </c>
      <c r="Z76">
        <v>655745</v>
      </c>
      <c r="AA76">
        <v>11460</v>
      </c>
      <c r="AB76">
        <v>230780</v>
      </c>
      <c r="AC76">
        <v>3330</v>
      </c>
      <c r="AD76">
        <v>273158</v>
      </c>
      <c r="AE76">
        <v>3362</v>
      </c>
      <c r="AF76">
        <v>2.7743231332999998</v>
      </c>
      <c r="AG76">
        <v>2</v>
      </c>
      <c r="AH76" t="e">
        <v>#N/A</v>
      </c>
      <c r="AI76" t="str">
        <v>None</v>
      </c>
      <c r="AJ76">
        <v>49.61</v>
      </c>
      <c r="AK76">
        <v>49.6</v>
      </c>
      <c r="AL76">
        <v>1.6450218009721846E+18</v>
      </c>
    </row>
    <row r="77" spans="2:38" x14ac:dyDescent="0.3">
      <c r="H77" t="str">
        <v>2022-02-17T21:03:02.018Z</v>
      </c>
      <c r="I77" t="str">
        <v>BBG000BY29C7</v>
      </c>
      <c r="J77">
        <v>35035</v>
      </c>
      <c r="K77">
        <v>20220217</v>
      </c>
      <c r="L77" t="str">
        <v>TPR</v>
      </c>
      <c r="M77" t="str">
        <v>Tapestry Inc</v>
      </c>
      <c r="N77" t="str">
        <v>NYSE</v>
      </c>
      <c r="O77" t="str">
        <v>US8760301072</v>
      </c>
      <c r="P77">
        <v>40.53</v>
      </c>
      <c r="Q77">
        <v>21119</v>
      </c>
      <c r="R77">
        <v>41.05</v>
      </c>
      <c r="S77" t="str">
        <v>09:41:01.036231424</v>
      </c>
      <c r="T77">
        <v>39.69</v>
      </c>
      <c r="U77" t="str">
        <v>14:35:56.064333312</v>
      </c>
      <c r="V77">
        <v>39.85</v>
      </c>
      <c r="W77">
        <v>343620</v>
      </c>
      <c r="X77">
        <v>2360631</v>
      </c>
      <c r="Y77">
        <v>26437</v>
      </c>
      <c r="Z77">
        <v>2362440</v>
      </c>
      <c r="AA77">
        <v>26478</v>
      </c>
      <c r="AB77">
        <v>534081</v>
      </c>
      <c r="AC77">
        <v>5934</v>
      </c>
      <c r="AD77">
        <v>579392</v>
      </c>
      <c r="AE77">
        <v>5965</v>
      </c>
      <c r="AF77">
        <v>1.3818906580999999</v>
      </c>
      <c r="AG77">
        <v>1</v>
      </c>
      <c r="AH77" t="e">
        <v>#N/A</v>
      </c>
      <c r="AI77" t="str">
        <v>None</v>
      </c>
      <c r="AJ77">
        <v>40.08</v>
      </c>
      <c r="AK77">
        <v>40.08</v>
      </c>
      <c r="AL77">
        <v>1.6451082012015529E+18</v>
      </c>
    </row>
    <row r="78" spans="2:38" x14ac:dyDescent="0.3">
      <c r="H78" t="str">
        <v>2022-02-17T21:04:11.903Z</v>
      </c>
      <c r="I78" t="str">
        <v>BBG000BS7KS3</v>
      </c>
      <c r="J78">
        <v>32840</v>
      </c>
      <c r="K78">
        <v>20220217</v>
      </c>
      <c r="L78" t="str">
        <v>TAP</v>
      </c>
      <c r="M78" t="str">
        <v>Molson Coors Beverage Company</v>
      </c>
      <c r="N78" t="str">
        <v>NYSE</v>
      </c>
      <c r="O78" t="str">
        <v>US60871R2094</v>
      </c>
      <c r="P78">
        <v>49.14</v>
      </c>
      <c r="Q78">
        <v>12393</v>
      </c>
      <c r="R78">
        <v>49.36</v>
      </c>
      <c r="S78" t="str">
        <v>09:30:07.739367936</v>
      </c>
      <c r="T78">
        <v>48.45</v>
      </c>
      <c r="U78" t="str">
        <v>10:03:38.313023744</v>
      </c>
      <c r="V78">
        <v>48.75</v>
      </c>
      <c r="W78">
        <v>140228</v>
      </c>
      <c r="X78">
        <v>787249</v>
      </c>
      <c r="Y78">
        <v>10752</v>
      </c>
      <c r="Z78">
        <v>787332</v>
      </c>
      <c r="AA78">
        <v>10765</v>
      </c>
      <c r="AB78">
        <v>257600</v>
      </c>
      <c r="AC78">
        <v>3397</v>
      </c>
      <c r="AD78">
        <v>274890</v>
      </c>
      <c r="AE78">
        <v>3434</v>
      </c>
      <c r="AF78">
        <v>2.7743231332999998</v>
      </c>
      <c r="AG78">
        <v>2</v>
      </c>
      <c r="AH78" t="e">
        <v>#N/A</v>
      </c>
      <c r="AI78" t="str">
        <v>None</v>
      </c>
      <c r="AJ78">
        <v>48.79</v>
      </c>
      <c r="AK78">
        <v>48.79</v>
      </c>
      <c r="AL78">
        <v>1.6451082011926868E+18</v>
      </c>
    </row>
    <row r="79" spans="2:38" x14ac:dyDescent="0.3">
      <c r="H79" t="str">
        <v>2022-02-18T21:04:45.447Z</v>
      </c>
      <c r="I79" t="str">
        <v>BBG000BY29C7</v>
      </c>
      <c r="J79">
        <v>35035</v>
      </c>
      <c r="K79">
        <v>20220218</v>
      </c>
      <c r="L79" t="str">
        <v>TPR</v>
      </c>
      <c r="M79" t="str">
        <v>Tapestry Inc</v>
      </c>
      <c r="N79" t="str">
        <v>NYSE</v>
      </c>
      <c r="O79" t="str">
        <v>US8760301072</v>
      </c>
      <c r="P79">
        <v>39.840000000000003</v>
      </c>
      <c r="Q79">
        <v>63571</v>
      </c>
      <c r="R79">
        <v>40.54</v>
      </c>
      <c r="S79" t="str">
        <v>09:55:09.753692672</v>
      </c>
      <c r="T79">
        <v>39.43</v>
      </c>
      <c r="U79" t="str">
        <v>13:18:05.614414848</v>
      </c>
      <c r="V79">
        <v>39.47</v>
      </c>
      <c r="W79">
        <v>280787</v>
      </c>
      <c r="X79">
        <v>2469488</v>
      </c>
      <c r="Y79">
        <v>28442</v>
      </c>
      <c r="Z79">
        <v>2471728</v>
      </c>
      <c r="AA79">
        <v>28495</v>
      </c>
      <c r="AB79">
        <v>686921</v>
      </c>
      <c r="AC79">
        <v>6650</v>
      </c>
      <c r="AD79">
        <v>726240</v>
      </c>
      <c r="AE79">
        <v>6677</v>
      </c>
      <c r="AF79">
        <v>1.3818906580999999</v>
      </c>
      <c r="AG79">
        <v>1</v>
      </c>
      <c r="AH79" t="e">
        <v>#N/A</v>
      </c>
      <c r="AI79" t="str">
        <v>None</v>
      </c>
      <c r="AJ79">
        <v>39.799999999999997</v>
      </c>
      <c r="AK79">
        <v>39.799999999999997</v>
      </c>
      <c r="AL79">
        <v>1.6451946050084726E+18</v>
      </c>
    </row>
    <row r="80" spans="2:38" x14ac:dyDescent="0.3">
      <c r="H80" t="str">
        <v>2022-02-18T21:05:13.301Z</v>
      </c>
      <c r="I80" t="str">
        <v>BBG000BS7KS3</v>
      </c>
      <c r="J80">
        <v>32840</v>
      </c>
      <c r="K80">
        <v>20220218</v>
      </c>
      <c r="L80" t="str">
        <v>TAP</v>
      </c>
      <c r="M80" t="str">
        <v>Molson Coors Beverage Company</v>
      </c>
      <c r="N80" t="str">
        <v>NYSE</v>
      </c>
      <c r="O80" t="str">
        <v>US60871R2094</v>
      </c>
      <c r="P80">
        <v>48.47</v>
      </c>
      <c r="Q80">
        <v>29271</v>
      </c>
      <c r="R80">
        <v>49.51</v>
      </c>
      <c r="S80" t="str">
        <v>10:27:36.751003136</v>
      </c>
      <c r="T80">
        <v>48.52</v>
      </c>
      <c r="U80" t="str">
        <v>13:18:30.266435840</v>
      </c>
      <c r="V80">
        <v>49</v>
      </c>
      <c r="W80">
        <v>157293</v>
      </c>
      <c r="X80">
        <v>717215</v>
      </c>
      <c r="Y80">
        <v>10837</v>
      </c>
      <c r="Z80">
        <v>717248</v>
      </c>
      <c r="AA80">
        <v>10842</v>
      </c>
      <c r="AB80">
        <v>254921</v>
      </c>
      <c r="AC80">
        <v>2590</v>
      </c>
      <c r="AD80">
        <v>286366</v>
      </c>
      <c r="AE80">
        <v>2633</v>
      </c>
      <c r="AF80">
        <v>2.7743231332999998</v>
      </c>
      <c r="AG80">
        <v>2</v>
      </c>
      <c r="AH80" t="e">
        <v>#N/A</v>
      </c>
      <c r="AI80" t="str">
        <v>None</v>
      </c>
      <c r="AJ80">
        <v>48.97</v>
      </c>
      <c r="AK80">
        <v>48.97</v>
      </c>
      <c r="AL80">
        <v>1.6451946011087772E+18</v>
      </c>
    </row>
    <row r="81" spans="8:38" x14ac:dyDescent="0.3">
      <c r="H81" t="str">
        <v>2022-02-22T21:03:40.094Z</v>
      </c>
      <c r="I81" t="str">
        <v>BBG000BY29C7</v>
      </c>
      <c r="J81">
        <v>35035</v>
      </c>
      <c r="K81">
        <v>20220222</v>
      </c>
      <c r="L81" t="str">
        <v>TPR</v>
      </c>
      <c r="M81" t="str">
        <v>Tapestry Inc</v>
      </c>
      <c r="N81" t="str">
        <v>NYSE</v>
      </c>
      <c r="O81" t="str">
        <v>US8760301072</v>
      </c>
      <c r="P81">
        <v>39</v>
      </c>
      <c r="Q81">
        <v>29346</v>
      </c>
      <c r="R81">
        <v>40.229999999999997</v>
      </c>
      <c r="S81" t="str">
        <v>10:44:20.315172096</v>
      </c>
      <c r="T81">
        <v>38.880000000000003</v>
      </c>
      <c r="U81" t="str">
        <v>09:30:29.783598592</v>
      </c>
      <c r="V81">
        <v>39.56</v>
      </c>
      <c r="W81">
        <v>262827</v>
      </c>
      <c r="X81">
        <v>3256280</v>
      </c>
      <c r="Y81">
        <v>34018</v>
      </c>
      <c r="Z81">
        <v>3271989</v>
      </c>
      <c r="AA81">
        <v>34043</v>
      </c>
      <c r="AB81">
        <v>939904</v>
      </c>
      <c r="AC81">
        <v>7751</v>
      </c>
      <c r="AD81">
        <v>1044649</v>
      </c>
      <c r="AE81">
        <v>7779</v>
      </c>
      <c r="AF81">
        <v>1.3818906580999999</v>
      </c>
      <c r="AG81">
        <v>1</v>
      </c>
      <c r="AH81" t="e">
        <v>#N/A</v>
      </c>
      <c r="AI81" t="str">
        <v>None</v>
      </c>
      <c r="AJ81">
        <v>39.630000000000003</v>
      </c>
      <c r="AK81">
        <v>39.630000000000003</v>
      </c>
      <c r="AL81">
        <v>1.6455402009881459E+18</v>
      </c>
    </row>
    <row r="82" spans="8:38" x14ac:dyDescent="0.3">
      <c r="H82" t="str">
        <v>2022-02-22T21:04:58.272Z</v>
      </c>
      <c r="I82" t="str">
        <v>BBG000BS7KS3</v>
      </c>
      <c r="J82">
        <v>32840</v>
      </c>
      <c r="K82">
        <v>20220222</v>
      </c>
      <c r="L82" t="str">
        <v>TAP</v>
      </c>
      <c r="M82" t="str">
        <v>Molson Coors Beverage Company</v>
      </c>
      <c r="N82" t="str">
        <v>NYSE</v>
      </c>
      <c r="O82" t="str">
        <v>US60871R2094</v>
      </c>
      <c r="P82">
        <v>48.82</v>
      </c>
      <c r="Q82">
        <v>19685</v>
      </c>
      <c r="R82">
        <v>49.17</v>
      </c>
      <c r="S82" t="str">
        <v>10:18:51.024332800</v>
      </c>
      <c r="T82">
        <v>48.56</v>
      </c>
      <c r="U82" t="str">
        <v>14:24:06.364573440</v>
      </c>
      <c r="V82">
        <v>48.59</v>
      </c>
      <c r="W82">
        <v>508037</v>
      </c>
      <c r="X82">
        <v>1786103</v>
      </c>
      <c r="Y82">
        <v>18982</v>
      </c>
      <c r="Z82">
        <v>1788133</v>
      </c>
      <c r="AA82">
        <v>19006</v>
      </c>
      <c r="AB82">
        <v>606511</v>
      </c>
      <c r="AC82">
        <v>6127</v>
      </c>
      <c r="AD82">
        <v>664038</v>
      </c>
      <c r="AE82">
        <v>6170</v>
      </c>
      <c r="AF82">
        <v>2.7743231332999998</v>
      </c>
      <c r="AG82">
        <v>2</v>
      </c>
      <c r="AH82" t="e">
        <v>#N/A</v>
      </c>
      <c r="AI82" t="str">
        <v>None</v>
      </c>
      <c r="AJ82">
        <v>48.78</v>
      </c>
      <c r="AK82">
        <v>48.78</v>
      </c>
      <c r="AL82">
        <v>1.6455402011336169E+18</v>
      </c>
    </row>
    <row r="83" spans="8:38" x14ac:dyDescent="0.3">
      <c r="H83" t="str">
        <v>2022-02-23T21:04:22.432Z</v>
      </c>
      <c r="I83" t="str">
        <v>BBG000BY29C7</v>
      </c>
      <c r="J83">
        <v>35035</v>
      </c>
      <c r="K83">
        <v>20220223</v>
      </c>
      <c r="L83" t="str">
        <v>TPR</v>
      </c>
      <c r="M83" t="str">
        <v>Tapestry Inc</v>
      </c>
      <c r="N83" t="str">
        <v>NYSE</v>
      </c>
      <c r="O83" t="str">
        <v>US8760301072</v>
      </c>
      <c r="P83">
        <v>39.950000000000003</v>
      </c>
      <c r="Q83">
        <v>30537</v>
      </c>
      <c r="R83">
        <v>40.200000000000003</v>
      </c>
      <c r="S83" t="str">
        <v>09:39:04.171471360</v>
      </c>
      <c r="T83">
        <v>39.06</v>
      </c>
      <c r="U83" t="str">
        <v>15:56:47.620002304</v>
      </c>
      <c r="V83">
        <v>39.159999999999997</v>
      </c>
      <c r="W83">
        <v>331836</v>
      </c>
      <c r="X83">
        <v>3052358</v>
      </c>
      <c r="Y83">
        <v>30531</v>
      </c>
      <c r="Z83">
        <v>3052487</v>
      </c>
      <c r="AA83">
        <v>30537</v>
      </c>
      <c r="AB83">
        <v>699549</v>
      </c>
      <c r="AC83">
        <v>6319</v>
      </c>
      <c r="AD83">
        <v>746279</v>
      </c>
      <c r="AE83">
        <v>6344</v>
      </c>
      <c r="AF83">
        <v>1.3818906580999999</v>
      </c>
      <c r="AG83">
        <v>1</v>
      </c>
      <c r="AH83" t="e">
        <v>#N/A</v>
      </c>
      <c r="AI83" t="str">
        <v>None</v>
      </c>
      <c r="AJ83">
        <v>39.450000000000003</v>
      </c>
      <c r="AK83">
        <v>39.450000000000003</v>
      </c>
      <c r="AL83">
        <v>1.6456266008105454E+18</v>
      </c>
    </row>
    <row r="84" spans="8:38" x14ac:dyDescent="0.3">
      <c r="H84" t="str">
        <v>2022-02-23T21:04:46.391Z</v>
      </c>
      <c r="I84" t="str">
        <v>BBG000BS7KS3</v>
      </c>
      <c r="J84">
        <v>32840</v>
      </c>
      <c r="K84">
        <v>20220223</v>
      </c>
      <c r="L84" t="str">
        <v>TAP</v>
      </c>
      <c r="M84" t="str">
        <v>Molson Coors Beverage Company</v>
      </c>
      <c r="N84" t="str">
        <v>NYSE</v>
      </c>
      <c r="O84" t="str">
        <v>US60871R2094</v>
      </c>
      <c r="P84">
        <v>49.25</v>
      </c>
      <c r="Q84">
        <v>18334</v>
      </c>
      <c r="R84">
        <v>51.24</v>
      </c>
      <c r="S84" t="str">
        <v>12:50:07.225170432</v>
      </c>
      <c r="T84">
        <v>48.29</v>
      </c>
      <c r="U84" t="str">
        <v>10:50:31.026828032</v>
      </c>
      <c r="V84">
        <v>50.81</v>
      </c>
      <c r="W84">
        <v>189921</v>
      </c>
      <c r="X84">
        <v>2442217</v>
      </c>
      <c r="Y84">
        <v>30980</v>
      </c>
      <c r="Z84">
        <v>2447300</v>
      </c>
      <c r="AA84">
        <v>31026</v>
      </c>
      <c r="AB84">
        <v>1832496</v>
      </c>
      <c r="AC84">
        <v>12224</v>
      </c>
      <c r="AD84">
        <v>1946470</v>
      </c>
      <c r="AE84">
        <v>12279</v>
      </c>
      <c r="AF84">
        <v>2.7743231332999998</v>
      </c>
      <c r="AG84">
        <v>2</v>
      </c>
      <c r="AH84" t="e">
        <v>#N/A</v>
      </c>
      <c r="AI84" t="str">
        <v>None</v>
      </c>
      <c r="AJ84">
        <v>50.46</v>
      </c>
      <c r="AK84">
        <v>50.46</v>
      </c>
      <c r="AL84">
        <v>1.6456266009526789E+18</v>
      </c>
    </row>
    <row r="85" spans="8:38" x14ac:dyDescent="0.3">
      <c r="H85" t="str">
        <v>2022-02-24T21:03:37.581Z</v>
      </c>
      <c r="I85" t="str">
        <v>BBG000BY29C7</v>
      </c>
      <c r="J85">
        <v>35035</v>
      </c>
      <c r="K85">
        <v>20220224</v>
      </c>
      <c r="L85" t="str">
        <v>TPR</v>
      </c>
      <c r="M85" t="str">
        <v>Tapestry Inc</v>
      </c>
      <c r="N85" t="str">
        <v>NYSE</v>
      </c>
      <c r="O85" t="str">
        <v>US8760301072</v>
      </c>
      <c r="P85">
        <v>37.92</v>
      </c>
      <c r="Q85">
        <v>39832</v>
      </c>
      <c r="R85">
        <v>39.26</v>
      </c>
      <c r="S85" t="str">
        <v>15:39:11.596601088</v>
      </c>
      <c r="T85">
        <v>37.61</v>
      </c>
      <c r="U85" t="str">
        <v>10:05:44.026157568</v>
      </c>
      <c r="V85">
        <v>39.159999999999997</v>
      </c>
      <c r="W85">
        <v>248782</v>
      </c>
      <c r="X85">
        <v>3259039</v>
      </c>
      <c r="Y85">
        <v>36858</v>
      </c>
      <c r="Z85">
        <v>3261596</v>
      </c>
      <c r="AA85">
        <v>36909</v>
      </c>
      <c r="AB85">
        <v>842811</v>
      </c>
      <c r="AC85">
        <v>6727</v>
      </c>
      <c r="AD85">
        <v>965654</v>
      </c>
      <c r="AE85">
        <v>6761</v>
      </c>
      <c r="AF85">
        <v>1.3818906580999999</v>
      </c>
      <c r="AG85">
        <v>1</v>
      </c>
      <c r="AH85" t="e">
        <v>#N/A</v>
      </c>
      <c r="AI85" t="str">
        <v>None</v>
      </c>
      <c r="AJ85">
        <v>38.520000000000003</v>
      </c>
      <c r="AK85">
        <v>38.53</v>
      </c>
      <c r="AL85">
        <v>1.6457130009514191E+18</v>
      </c>
    </row>
    <row r="86" spans="8:38" x14ac:dyDescent="0.3">
      <c r="H86" t="str">
        <v>2022-02-24T21:04:57.704Z</v>
      </c>
      <c r="I86" t="str">
        <v>BBG000BS7KS3</v>
      </c>
      <c r="J86">
        <v>32840</v>
      </c>
      <c r="K86">
        <v>20220224</v>
      </c>
      <c r="L86" t="str">
        <v>TAP</v>
      </c>
      <c r="M86" t="str">
        <v>Molson Coors Beverage Company</v>
      </c>
      <c r="N86" t="str">
        <v>NYSE</v>
      </c>
      <c r="O86" t="str">
        <v>US60871R2094</v>
      </c>
      <c r="P86">
        <v>50.76</v>
      </c>
      <c r="Q86">
        <v>45078</v>
      </c>
      <c r="R86">
        <v>50.93</v>
      </c>
      <c r="S86" t="str">
        <v>09:30:00.043228928</v>
      </c>
      <c r="T86">
        <v>47.64</v>
      </c>
      <c r="U86" t="str">
        <v>10:44:51.089000448</v>
      </c>
      <c r="V86">
        <v>49.42</v>
      </c>
      <c r="W86">
        <v>360104</v>
      </c>
      <c r="X86">
        <v>2443368</v>
      </c>
      <c r="Y86">
        <v>28464</v>
      </c>
      <c r="Z86">
        <v>2453421</v>
      </c>
      <c r="AA86">
        <v>28596</v>
      </c>
      <c r="AB86">
        <v>1112170</v>
      </c>
      <c r="AC86">
        <v>8866</v>
      </c>
      <c r="AD86">
        <v>1150163</v>
      </c>
      <c r="AE86">
        <v>8965</v>
      </c>
      <c r="AF86">
        <v>2.7743231332999998</v>
      </c>
      <c r="AG86">
        <v>2</v>
      </c>
      <c r="AH86" t="e">
        <v>#N/A</v>
      </c>
      <c r="AI86" t="str">
        <v>None</v>
      </c>
      <c r="AJ86">
        <v>48.84</v>
      </c>
      <c r="AK86">
        <v>48.85</v>
      </c>
      <c r="AL86">
        <v>1.6457130013446582E+18</v>
      </c>
    </row>
    <row r="87" spans="8:38" x14ac:dyDescent="0.3">
      <c r="H87" t="str">
        <v>2022-02-25T21:02:53.439Z</v>
      </c>
      <c r="I87" t="str">
        <v>BBG000BY29C7</v>
      </c>
      <c r="J87">
        <v>35035</v>
      </c>
      <c r="K87">
        <v>20220225</v>
      </c>
      <c r="L87" t="str">
        <v>TPR</v>
      </c>
      <c r="M87" t="str">
        <v>Tapestry Inc</v>
      </c>
      <c r="N87" t="str">
        <v>NYSE</v>
      </c>
      <c r="O87" t="str">
        <v>US8760301072</v>
      </c>
      <c r="P87">
        <v>39.229999999999997</v>
      </c>
      <c r="Q87">
        <v>19268</v>
      </c>
      <c r="R87">
        <v>40.880000000000003</v>
      </c>
      <c r="S87" t="str">
        <v>15:25:25.665888256</v>
      </c>
      <c r="T87">
        <v>39.14</v>
      </c>
      <c r="U87" t="str">
        <v>09:30:07.901753344</v>
      </c>
      <c r="V87">
        <v>40.76</v>
      </c>
      <c r="W87">
        <v>243238</v>
      </c>
      <c r="X87">
        <v>2743034</v>
      </c>
      <c r="Y87">
        <v>29747</v>
      </c>
      <c r="Z87">
        <v>2743774</v>
      </c>
      <c r="AA87">
        <v>29758</v>
      </c>
      <c r="AB87">
        <v>1015683</v>
      </c>
      <c r="AC87">
        <v>6010</v>
      </c>
      <c r="AD87">
        <v>1060618</v>
      </c>
      <c r="AE87">
        <v>6038</v>
      </c>
      <c r="AF87">
        <v>1.3818906580999999</v>
      </c>
      <c r="AG87">
        <v>1</v>
      </c>
      <c r="AH87" t="e">
        <v>#N/A</v>
      </c>
      <c r="AI87" t="str">
        <v>None</v>
      </c>
      <c r="AJ87">
        <v>40.35</v>
      </c>
      <c r="AK87">
        <v>40.36</v>
      </c>
      <c r="AL87">
        <v>1.6457994008352566E+18</v>
      </c>
    </row>
    <row r="88" spans="8:38" x14ac:dyDescent="0.3">
      <c r="H88" t="str">
        <v>2022-02-25T21:04:30.403Z</v>
      </c>
      <c r="I88" t="str">
        <v>BBG000BS7KS3</v>
      </c>
      <c r="J88">
        <v>32840</v>
      </c>
      <c r="K88">
        <v>20220225</v>
      </c>
      <c r="L88" t="str">
        <v>TAP</v>
      </c>
      <c r="M88" t="str">
        <v>Molson Coors Beverage Company</v>
      </c>
      <c r="N88" t="str">
        <v>NYSE</v>
      </c>
      <c r="O88" t="str">
        <v>US60871R2094</v>
      </c>
      <c r="P88">
        <v>50.19</v>
      </c>
      <c r="Q88">
        <v>24308</v>
      </c>
      <c r="R88">
        <v>52.95</v>
      </c>
      <c r="S88" t="str">
        <v>15:59:02.108551936</v>
      </c>
      <c r="T88">
        <v>49.94</v>
      </c>
      <c r="U88" t="str">
        <v>09:31:42.653625088</v>
      </c>
      <c r="V88">
        <v>52.92</v>
      </c>
      <c r="W88">
        <v>283159</v>
      </c>
      <c r="X88">
        <v>2507690</v>
      </c>
      <c r="Y88">
        <v>29097</v>
      </c>
      <c r="Z88">
        <v>2510440</v>
      </c>
      <c r="AA88">
        <v>29141</v>
      </c>
      <c r="AB88">
        <v>1105191</v>
      </c>
      <c r="AC88">
        <v>8572</v>
      </c>
      <c r="AD88">
        <v>1145209</v>
      </c>
      <c r="AE88">
        <v>8636</v>
      </c>
      <c r="AF88">
        <v>2.7743231332999998</v>
      </c>
      <c r="AG88">
        <v>2</v>
      </c>
      <c r="AH88" t="e">
        <v>#N/A</v>
      </c>
      <c r="AI88" t="str">
        <v>None</v>
      </c>
      <c r="AJ88">
        <v>52.27</v>
      </c>
      <c r="AK88">
        <v>52.28</v>
      </c>
      <c r="AL88">
        <v>1.645799400923586E+18</v>
      </c>
    </row>
    <row r="89" spans="8:38" x14ac:dyDescent="0.3">
      <c r="H89" t="str">
        <v>2022-02-28T21:04:42.600Z</v>
      </c>
      <c r="I89" t="str">
        <v>BBG000BY29C7</v>
      </c>
      <c r="J89">
        <v>35035</v>
      </c>
      <c r="K89">
        <v>20220228</v>
      </c>
      <c r="L89" t="str">
        <v>TPR</v>
      </c>
      <c r="M89" t="str">
        <v>Tapestry Inc</v>
      </c>
      <c r="N89" t="str">
        <v>NYSE</v>
      </c>
      <c r="O89" t="str">
        <v>US8760301072</v>
      </c>
      <c r="P89">
        <v>39.96</v>
      </c>
      <c r="Q89">
        <v>20707</v>
      </c>
      <c r="R89">
        <v>41.17</v>
      </c>
      <c r="S89" t="str">
        <v>12:01:50.919940608</v>
      </c>
      <c r="T89">
        <v>40.1</v>
      </c>
      <c r="U89" t="str">
        <v>09:30:02.583809536</v>
      </c>
      <c r="V89">
        <v>40.9</v>
      </c>
      <c r="W89">
        <v>490548</v>
      </c>
      <c r="X89">
        <v>2637075</v>
      </c>
      <c r="Y89">
        <v>27104</v>
      </c>
      <c r="Z89">
        <v>2637470</v>
      </c>
      <c r="AA89">
        <v>27117</v>
      </c>
      <c r="AB89">
        <v>739942</v>
      </c>
      <c r="AC89">
        <v>8312</v>
      </c>
      <c r="AD89">
        <v>861636</v>
      </c>
      <c r="AE89">
        <v>8343</v>
      </c>
      <c r="AF89">
        <v>1.3818906580999999</v>
      </c>
      <c r="AG89">
        <v>1</v>
      </c>
      <c r="AH89" t="e">
        <v>#N/A</v>
      </c>
      <c r="AI89" t="str">
        <v>None</v>
      </c>
      <c r="AJ89">
        <v>40.75</v>
      </c>
      <c r="AK89">
        <v>40.75</v>
      </c>
      <c r="AL89">
        <v>1.6460586009161283E+18</v>
      </c>
    </row>
    <row r="90" spans="8:38" x14ac:dyDescent="0.3">
      <c r="H90" t="str">
        <v>2022-02-28T21:05:12.060Z</v>
      </c>
      <c r="I90" t="str">
        <v>BBG000BS7KS3</v>
      </c>
      <c r="J90">
        <v>32840</v>
      </c>
      <c r="K90">
        <v>20220228</v>
      </c>
      <c r="L90" t="str">
        <v>TAP</v>
      </c>
      <c r="M90" t="str">
        <v>Molson Coors Beverage Company</v>
      </c>
      <c r="N90" t="str">
        <v>NYSE</v>
      </c>
      <c r="O90" t="str">
        <v>US60871R2094</v>
      </c>
      <c r="P90">
        <v>51.31</v>
      </c>
      <c r="Q90">
        <v>33343</v>
      </c>
      <c r="R90">
        <v>52.3</v>
      </c>
      <c r="S90" t="str">
        <v>15:59:30.573805568</v>
      </c>
      <c r="T90">
        <v>51.15</v>
      </c>
      <c r="U90" t="str">
        <v>14:11:47.868069376</v>
      </c>
      <c r="V90">
        <v>52.18</v>
      </c>
      <c r="W90">
        <v>479475</v>
      </c>
      <c r="X90">
        <v>1426946</v>
      </c>
      <c r="Y90">
        <v>17572</v>
      </c>
      <c r="Z90">
        <v>1429187</v>
      </c>
      <c r="AA90">
        <v>17608</v>
      </c>
      <c r="AB90">
        <v>405320</v>
      </c>
      <c r="AC90">
        <v>6502</v>
      </c>
      <c r="AD90">
        <v>526612</v>
      </c>
      <c r="AE90">
        <v>6570</v>
      </c>
      <c r="AF90">
        <v>2.7743231332999998</v>
      </c>
      <c r="AG90">
        <v>2</v>
      </c>
      <c r="AH90" t="e">
        <v>#N/A</v>
      </c>
      <c r="AI90" t="str">
        <v>None</v>
      </c>
      <c r="AJ90">
        <v>51.91</v>
      </c>
      <c r="AK90">
        <v>51.92</v>
      </c>
      <c r="AL90">
        <v>1.6460586011923548E+18</v>
      </c>
    </row>
    <row r="91" spans="8:38" x14ac:dyDescent="0.3">
      <c r="H91" t="str">
        <v>2022-03-01T21:03:37.554Z</v>
      </c>
      <c r="I91" t="str">
        <v>BBG000BY29C7</v>
      </c>
      <c r="J91">
        <v>35035</v>
      </c>
      <c r="K91">
        <v>20220301</v>
      </c>
      <c r="L91" t="str">
        <v>TPR</v>
      </c>
      <c r="M91" t="str">
        <v>Tapestry Inc</v>
      </c>
      <c r="N91" t="str">
        <v>NYSE</v>
      </c>
      <c r="O91" t="str">
        <v>US8760301072</v>
      </c>
      <c r="P91">
        <v>40.630000000000003</v>
      </c>
      <c r="Q91">
        <v>20456</v>
      </c>
      <c r="R91">
        <v>41</v>
      </c>
      <c r="S91" t="str">
        <v>09:30:37.314136576</v>
      </c>
      <c r="T91">
        <v>38.58</v>
      </c>
      <c r="U91" t="str">
        <v>12:40:16.710174976</v>
      </c>
      <c r="V91">
        <v>38.81</v>
      </c>
      <c r="W91">
        <v>389389</v>
      </c>
      <c r="X91">
        <v>3362345</v>
      </c>
      <c r="Y91">
        <v>36689</v>
      </c>
      <c r="Z91">
        <v>3362350</v>
      </c>
      <c r="AA91">
        <v>36692</v>
      </c>
      <c r="AB91">
        <v>1129283</v>
      </c>
      <c r="AC91">
        <v>6813</v>
      </c>
      <c r="AD91">
        <v>1186592</v>
      </c>
      <c r="AE91">
        <v>6850</v>
      </c>
      <c r="AF91">
        <v>1.3818906580999999</v>
      </c>
      <c r="AG91">
        <v>1</v>
      </c>
      <c r="AH91" t="e">
        <v>#N/A</v>
      </c>
      <c r="AI91" t="str">
        <v>None</v>
      </c>
      <c r="AJ91">
        <v>39.08</v>
      </c>
      <c r="AK91">
        <v>39.08</v>
      </c>
      <c r="AL91">
        <v>1.6461450008107523E+18</v>
      </c>
    </row>
    <row r="92" spans="8:38" x14ac:dyDescent="0.3">
      <c r="H92" t="str">
        <v>2022-03-01T21:04:09.984Z</v>
      </c>
      <c r="I92" t="str">
        <v>BBG000BS7KS3</v>
      </c>
      <c r="J92">
        <v>32840</v>
      </c>
      <c r="K92">
        <v>20220301</v>
      </c>
      <c r="L92" t="str">
        <v>TAP</v>
      </c>
      <c r="M92" t="str">
        <v>Molson Coors Beverage Company</v>
      </c>
      <c r="N92" t="str">
        <v>NYSE</v>
      </c>
      <c r="O92" t="str">
        <v>US60871R2094</v>
      </c>
      <c r="P92">
        <v>51.76</v>
      </c>
      <c r="Q92">
        <v>24645</v>
      </c>
      <c r="R92">
        <v>52.06</v>
      </c>
      <c r="S92" t="str">
        <v>09:30:40.018126336</v>
      </c>
      <c r="T92">
        <v>49.12</v>
      </c>
      <c r="U92" t="str">
        <v>11:47:44.283922688</v>
      </c>
      <c r="V92">
        <v>50.4</v>
      </c>
      <c r="W92">
        <v>253415</v>
      </c>
      <c r="X92">
        <v>2178893</v>
      </c>
      <c r="Y92">
        <v>27999</v>
      </c>
      <c r="Z92">
        <v>2181649</v>
      </c>
      <c r="AA92">
        <v>28018</v>
      </c>
      <c r="AB92">
        <v>617453</v>
      </c>
      <c r="AC92">
        <v>6149</v>
      </c>
      <c r="AD92">
        <v>638679</v>
      </c>
      <c r="AE92">
        <v>6196</v>
      </c>
      <c r="AF92">
        <v>2.7743231332999998</v>
      </c>
      <c r="AG92">
        <v>2</v>
      </c>
      <c r="AH92" t="e">
        <v>#N/A</v>
      </c>
      <c r="AI92" t="str">
        <v>None</v>
      </c>
      <c r="AJ92">
        <v>50.28</v>
      </c>
      <c r="AK92">
        <v>50.29</v>
      </c>
      <c r="AL92">
        <v>1.6461450009901238E+18</v>
      </c>
    </row>
    <row r="93" spans="8:38" x14ac:dyDescent="0.3">
      <c r="H93" t="str">
        <v>2022-03-02T21:02:56.999Z</v>
      </c>
      <c r="I93" t="str">
        <v>BBG000BY29C7</v>
      </c>
      <c r="J93">
        <v>35035</v>
      </c>
      <c r="K93">
        <v>20220302</v>
      </c>
      <c r="L93" t="str">
        <v>TPR</v>
      </c>
      <c r="M93" t="str">
        <v>Tapestry Inc</v>
      </c>
      <c r="N93" t="str">
        <v>NYSE</v>
      </c>
      <c r="O93" t="str">
        <v>US8760301072</v>
      </c>
      <c r="P93">
        <v>39.29</v>
      </c>
      <c r="Q93">
        <v>28936</v>
      </c>
      <c r="R93">
        <v>41.68</v>
      </c>
      <c r="S93" t="str">
        <v>13:21:10.400450560</v>
      </c>
      <c r="T93">
        <v>39.29</v>
      </c>
      <c r="U93" t="str">
        <v>09:30:00.971673088</v>
      </c>
      <c r="V93">
        <v>41.35</v>
      </c>
      <c r="W93">
        <v>637318</v>
      </c>
      <c r="X93">
        <v>4860988</v>
      </c>
      <c r="Y93">
        <v>42669</v>
      </c>
      <c r="Z93">
        <v>4863967</v>
      </c>
      <c r="AA93">
        <v>42698</v>
      </c>
      <c r="AB93">
        <v>1772213</v>
      </c>
      <c r="AC93">
        <v>9077</v>
      </c>
      <c r="AD93">
        <v>1938655</v>
      </c>
      <c r="AE93">
        <v>9119</v>
      </c>
      <c r="AF93">
        <v>1.3818906580999999</v>
      </c>
      <c r="AG93">
        <v>1</v>
      </c>
      <c r="AH93" t="e">
        <v>#N/A</v>
      </c>
      <c r="AI93" t="str">
        <v>None</v>
      </c>
      <c r="AJ93">
        <v>41.13</v>
      </c>
      <c r="AK93">
        <v>41.13</v>
      </c>
      <c r="AL93">
        <v>1.6462314009054213E+18</v>
      </c>
    </row>
    <row r="94" spans="8:38" x14ac:dyDescent="0.3">
      <c r="H94" t="str">
        <v>2022-03-02T21:04:34.896Z</v>
      </c>
      <c r="I94" t="str">
        <v>BBG000BS7KS3</v>
      </c>
      <c r="J94">
        <v>32840</v>
      </c>
      <c r="K94">
        <v>20220302</v>
      </c>
      <c r="L94" t="str">
        <v>TAP</v>
      </c>
      <c r="M94" t="str">
        <v>Molson Coors Beverage Company</v>
      </c>
      <c r="N94" t="str">
        <v>NYSE</v>
      </c>
      <c r="O94" t="str">
        <v>US60871R2094</v>
      </c>
      <c r="P94">
        <v>50.6</v>
      </c>
      <c r="Q94">
        <v>21075</v>
      </c>
      <c r="R94">
        <v>51.45</v>
      </c>
      <c r="S94" t="str">
        <v>10:29:38.467574528</v>
      </c>
      <c r="T94">
        <v>50.29</v>
      </c>
      <c r="U94" t="str">
        <v>12:26:37.882239488</v>
      </c>
      <c r="V94">
        <v>51.21</v>
      </c>
      <c r="W94">
        <v>181986</v>
      </c>
      <c r="X94">
        <v>1306624</v>
      </c>
      <c r="Y94">
        <v>19019</v>
      </c>
      <c r="Z94">
        <v>1306712</v>
      </c>
      <c r="AA94">
        <v>19025</v>
      </c>
      <c r="AB94">
        <v>912950</v>
      </c>
      <c r="AC94">
        <v>5472</v>
      </c>
      <c r="AD94">
        <v>924441</v>
      </c>
      <c r="AE94">
        <v>5501</v>
      </c>
      <c r="AF94">
        <v>2.7743231332999998</v>
      </c>
      <c r="AG94">
        <v>2</v>
      </c>
      <c r="AH94" t="e">
        <v>#N/A</v>
      </c>
      <c r="AI94" t="str">
        <v>None</v>
      </c>
      <c r="AJ94">
        <v>50.88</v>
      </c>
      <c r="AK94">
        <v>50.88</v>
      </c>
      <c r="AL94">
        <v>1.6462314009423483E+18</v>
      </c>
    </row>
    <row r="95" spans="8:38" x14ac:dyDescent="0.3">
      <c r="H95" t="str">
        <v>2022-03-03T21:02:59.471Z</v>
      </c>
      <c r="I95" t="str">
        <v>BBG000BY29C7</v>
      </c>
      <c r="J95">
        <v>35035</v>
      </c>
      <c r="K95">
        <v>20220303</v>
      </c>
      <c r="L95" t="str">
        <v>TPR</v>
      </c>
      <c r="M95" t="str">
        <v>Tapestry Inc</v>
      </c>
      <c r="N95" t="str">
        <v>NYSE</v>
      </c>
      <c r="O95" t="str">
        <v>US8760301072</v>
      </c>
      <c r="P95">
        <v>41.11</v>
      </c>
      <c r="Q95">
        <v>23364</v>
      </c>
      <c r="R95">
        <v>41.26</v>
      </c>
      <c r="S95" t="str">
        <v>09:30:53.313340416</v>
      </c>
      <c r="T95">
        <v>39.42</v>
      </c>
      <c r="U95" t="str">
        <v>11:41:39.068139776</v>
      </c>
      <c r="V95">
        <v>39.799999999999997</v>
      </c>
      <c r="W95">
        <v>589500</v>
      </c>
      <c r="X95">
        <v>2925591</v>
      </c>
      <c r="Y95">
        <v>32192</v>
      </c>
      <c r="Z95">
        <v>2927081</v>
      </c>
      <c r="AA95">
        <v>32232</v>
      </c>
      <c r="AB95">
        <v>797566</v>
      </c>
      <c r="AC95">
        <v>7549</v>
      </c>
      <c r="AD95">
        <v>1098022</v>
      </c>
      <c r="AE95">
        <v>7574</v>
      </c>
      <c r="AF95">
        <v>1.3902963189999999</v>
      </c>
      <c r="AG95">
        <v>1</v>
      </c>
      <c r="AH95">
        <v>0.99395405079999999</v>
      </c>
      <c r="AI95" t="str">
        <v>CashDiv</v>
      </c>
      <c r="AJ95">
        <v>39.94</v>
      </c>
      <c r="AK95">
        <v>39.93</v>
      </c>
      <c r="AL95">
        <v>1.6463178008899474E+18</v>
      </c>
    </row>
    <row r="96" spans="8:38" x14ac:dyDescent="0.3">
      <c r="H96" t="str">
        <v>2022-03-03T21:04:07.292Z</v>
      </c>
      <c r="I96" t="str">
        <v>BBG000BS7KS3</v>
      </c>
      <c r="J96">
        <v>32840</v>
      </c>
      <c r="K96">
        <v>20220303</v>
      </c>
      <c r="L96" t="str">
        <v>TAP</v>
      </c>
      <c r="M96" t="str">
        <v>Molson Coors Beverage Company</v>
      </c>
      <c r="N96" t="str">
        <v>NYSE</v>
      </c>
      <c r="O96" t="str">
        <v>US60871R2094</v>
      </c>
      <c r="P96">
        <v>51.61</v>
      </c>
      <c r="Q96">
        <v>16045</v>
      </c>
      <c r="R96">
        <v>51.75</v>
      </c>
      <c r="S96" t="str">
        <v>09:32:07.652983296</v>
      </c>
      <c r="T96">
        <v>50.75</v>
      </c>
      <c r="U96" t="str">
        <v>11:15:45.829641984</v>
      </c>
      <c r="V96">
        <v>51.12</v>
      </c>
      <c r="W96">
        <v>149953</v>
      </c>
      <c r="X96">
        <v>865281</v>
      </c>
      <c r="Y96">
        <v>11724</v>
      </c>
      <c r="Z96">
        <v>866482</v>
      </c>
      <c r="AA96">
        <v>11739</v>
      </c>
      <c r="AB96">
        <v>311178</v>
      </c>
      <c r="AC96">
        <v>3528</v>
      </c>
      <c r="AD96">
        <v>342100</v>
      </c>
      <c r="AE96">
        <v>3560</v>
      </c>
      <c r="AF96">
        <v>2.7743231332999998</v>
      </c>
      <c r="AG96">
        <v>2</v>
      </c>
      <c r="AH96" t="e">
        <v>#N/A</v>
      </c>
      <c r="AI96" t="str">
        <v>None</v>
      </c>
      <c r="AJ96">
        <v>51.1</v>
      </c>
      <c r="AK96">
        <v>51.1</v>
      </c>
      <c r="AL96">
        <v>1.6463178010616461E+18</v>
      </c>
    </row>
    <row r="97" spans="8:38" x14ac:dyDescent="0.3">
      <c r="H97" t="str">
        <v>2022-03-04T21:02:59.212Z</v>
      </c>
      <c r="I97" t="str">
        <v>BBG000BY29C7</v>
      </c>
      <c r="J97">
        <v>35035</v>
      </c>
      <c r="K97">
        <v>20220304</v>
      </c>
      <c r="L97" t="str">
        <v>TPR</v>
      </c>
      <c r="M97" t="str">
        <v>Tapestry Inc</v>
      </c>
      <c r="N97" t="str">
        <v>NYSE</v>
      </c>
      <c r="O97" t="str">
        <v>US8760301072</v>
      </c>
      <c r="P97">
        <v>39.159999999999997</v>
      </c>
      <c r="Q97">
        <v>27007</v>
      </c>
      <c r="R97">
        <v>39.24</v>
      </c>
      <c r="S97" t="str">
        <v>09:30:03.020368128</v>
      </c>
      <c r="T97">
        <v>36.340000000000003</v>
      </c>
      <c r="U97" t="str">
        <v>15:48:13.293748992</v>
      </c>
      <c r="V97">
        <v>36.450000000000003</v>
      </c>
      <c r="W97">
        <v>401901</v>
      </c>
      <c r="X97">
        <v>4312858</v>
      </c>
      <c r="Y97">
        <v>47439</v>
      </c>
      <c r="Z97">
        <v>4314769</v>
      </c>
      <c r="AA97">
        <v>47450</v>
      </c>
      <c r="AB97">
        <v>1214106</v>
      </c>
      <c r="AC97">
        <v>10613</v>
      </c>
      <c r="AD97">
        <v>1733153</v>
      </c>
      <c r="AE97">
        <v>10639</v>
      </c>
      <c r="AF97">
        <v>1.3902963189999999</v>
      </c>
      <c r="AG97">
        <v>1</v>
      </c>
      <c r="AH97" t="e">
        <v>#N/A</v>
      </c>
      <c r="AI97" t="str">
        <v>None</v>
      </c>
      <c r="AJ97">
        <v>37</v>
      </c>
      <c r="AK97">
        <v>36.950000000000003</v>
      </c>
      <c r="AL97">
        <v>1.6464042009293906E+18</v>
      </c>
    </row>
    <row r="98" spans="8:38" x14ac:dyDescent="0.3">
      <c r="H98" t="str">
        <v>2022-03-04T21:04:35.145Z</v>
      </c>
      <c r="I98" t="str">
        <v>BBG000BS7KS3</v>
      </c>
      <c r="J98">
        <v>32840</v>
      </c>
      <c r="K98">
        <v>20220304</v>
      </c>
      <c r="L98" t="str">
        <v>TAP</v>
      </c>
      <c r="M98" t="str">
        <v>Molson Coors Beverage Company</v>
      </c>
      <c r="N98" t="str">
        <v>NYSE</v>
      </c>
      <c r="O98" t="str">
        <v>US60871R2094</v>
      </c>
      <c r="P98">
        <v>49.73</v>
      </c>
      <c r="Q98">
        <v>28147</v>
      </c>
      <c r="R98">
        <v>50.91</v>
      </c>
      <c r="S98" t="str">
        <v>15:59:49.275432704</v>
      </c>
      <c r="T98">
        <v>49.73</v>
      </c>
      <c r="U98" t="str">
        <v>09:30:03.016583168</v>
      </c>
      <c r="V98">
        <v>50.87</v>
      </c>
      <c r="W98">
        <v>179251</v>
      </c>
      <c r="X98">
        <v>1329353</v>
      </c>
      <c r="Y98">
        <v>16323</v>
      </c>
      <c r="Z98">
        <v>1331660</v>
      </c>
      <c r="AA98">
        <v>16384</v>
      </c>
      <c r="AB98">
        <v>522642</v>
      </c>
      <c r="AC98">
        <v>5094</v>
      </c>
      <c r="AD98">
        <v>594010</v>
      </c>
      <c r="AE98">
        <v>5134</v>
      </c>
      <c r="AF98">
        <v>2.7951004842999998</v>
      </c>
      <c r="AG98">
        <v>2</v>
      </c>
      <c r="AH98">
        <v>0.99256651019999997</v>
      </c>
      <c r="AI98" t="str">
        <v>CashDiv</v>
      </c>
      <c r="AJ98">
        <v>50.48</v>
      </c>
      <c r="AK98">
        <v>50.5</v>
      </c>
      <c r="AL98">
        <v>1.6464042010285714E+18</v>
      </c>
    </row>
    <row r="99" spans="8:38" x14ac:dyDescent="0.3">
      <c r="H99" t="str">
        <v>2022-03-07T21:04:00.308Z</v>
      </c>
      <c r="I99" t="str">
        <v>BBG000BS7KS3</v>
      </c>
      <c r="J99">
        <v>32840</v>
      </c>
      <c r="K99">
        <v>20220307</v>
      </c>
      <c r="L99" t="str">
        <v>TAP</v>
      </c>
      <c r="M99" t="str">
        <v>Molson Coors Beverage Company</v>
      </c>
      <c r="N99" t="str">
        <v>NYSE</v>
      </c>
      <c r="O99" t="str">
        <v>US60871R2094</v>
      </c>
      <c r="P99">
        <v>50.39</v>
      </c>
      <c r="Q99">
        <v>15578</v>
      </c>
      <c r="R99">
        <v>52.43</v>
      </c>
      <c r="S99" t="str">
        <v>15:45:00.420704512</v>
      </c>
      <c r="T99">
        <v>50.26</v>
      </c>
      <c r="U99" t="str">
        <v>09:30:08.267873536</v>
      </c>
      <c r="V99">
        <v>51.56</v>
      </c>
      <c r="W99">
        <v>169777</v>
      </c>
      <c r="X99">
        <v>2130378</v>
      </c>
      <c r="Y99">
        <v>24881</v>
      </c>
      <c r="Z99">
        <v>2131757</v>
      </c>
      <c r="AA99">
        <v>24913</v>
      </c>
      <c r="AB99">
        <v>1241699</v>
      </c>
      <c r="AC99">
        <v>7548</v>
      </c>
      <c r="AD99">
        <v>1283461</v>
      </c>
      <c r="AE99">
        <v>7590</v>
      </c>
      <c r="AF99">
        <v>2.7951004842999998</v>
      </c>
      <c r="AG99">
        <v>2</v>
      </c>
      <c r="AH99" t="e">
        <v>#N/A</v>
      </c>
      <c r="AI99" t="str">
        <v>None</v>
      </c>
      <c r="AJ99">
        <v>51.68</v>
      </c>
      <c r="AK99">
        <v>51.68</v>
      </c>
      <c r="AL99">
        <v>1.6466634012070986E+18</v>
      </c>
    </row>
    <row r="100" spans="8:38" x14ac:dyDescent="0.3">
      <c r="H100" t="str">
        <v>2022-03-07T21:04:10.195Z</v>
      </c>
      <c r="I100" t="str">
        <v>BBG000BY29C7</v>
      </c>
      <c r="J100">
        <v>35035</v>
      </c>
      <c r="K100">
        <v>20220307</v>
      </c>
      <c r="L100" t="str">
        <v>TPR</v>
      </c>
      <c r="M100" t="str">
        <v>Tapestry Inc</v>
      </c>
      <c r="N100" t="str">
        <v>NYSE</v>
      </c>
      <c r="O100" t="str">
        <v>US8760301072</v>
      </c>
      <c r="P100">
        <v>36.17</v>
      </c>
      <c r="Q100">
        <v>52326</v>
      </c>
      <c r="R100">
        <v>36.18</v>
      </c>
      <c r="S100" t="str">
        <v>09:30:07.201094144</v>
      </c>
      <c r="T100">
        <v>31.78</v>
      </c>
      <c r="U100" t="str">
        <v>15:19:51.454690816</v>
      </c>
      <c r="V100">
        <v>32.119999999999997</v>
      </c>
      <c r="W100">
        <v>362959</v>
      </c>
      <c r="X100">
        <v>7065066</v>
      </c>
      <c r="Y100">
        <v>69230</v>
      </c>
      <c r="Z100">
        <v>7072446</v>
      </c>
      <c r="AA100">
        <v>69290</v>
      </c>
      <c r="AB100">
        <v>2350852</v>
      </c>
      <c r="AC100">
        <v>16106</v>
      </c>
      <c r="AD100">
        <v>2356791</v>
      </c>
      <c r="AE100">
        <v>16131</v>
      </c>
      <c r="AF100">
        <v>1.3902963189999999</v>
      </c>
      <c r="AG100">
        <v>1</v>
      </c>
      <c r="AH100" t="e">
        <v>#N/A</v>
      </c>
      <c r="AI100" t="str">
        <v>None</v>
      </c>
      <c r="AJ100">
        <v>32.909999999999997</v>
      </c>
      <c r="AK100">
        <v>32.909999999999997</v>
      </c>
      <c r="AL100">
        <v>1.6466634009024932E+18</v>
      </c>
    </row>
    <row r="101" spans="8:38" x14ac:dyDescent="0.3">
      <c r="H101" t="str">
        <v>2022-03-08T21:03:40.230Z</v>
      </c>
      <c r="I101" t="str">
        <v>BBG000BS7KS3</v>
      </c>
      <c r="J101">
        <v>32840</v>
      </c>
      <c r="K101">
        <v>20220308</v>
      </c>
      <c r="L101" t="str">
        <v>TAP</v>
      </c>
      <c r="M101" t="str">
        <v>Molson Coors Beverage Company</v>
      </c>
      <c r="N101" t="str">
        <v>NYSE</v>
      </c>
      <c r="O101" t="str">
        <v>US60871R2094</v>
      </c>
      <c r="P101">
        <v>52.18</v>
      </c>
      <c r="Q101">
        <v>17934</v>
      </c>
      <c r="R101">
        <v>52.86</v>
      </c>
      <c r="S101" t="str">
        <v>10:42:13.961261568</v>
      </c>
      <c r="T101">
        <v>50.88</v>
      </c>
      <c r="U101" t="str">
        <v>14:19:59.259395328</v>
      </c>
      <c r="V101">
        <v>51.95</v>
      </c>
      <c r="W101">
        <v>373890</v>
      </c>
      <c r="X101">
        <v>2372891</v>
      </c>
      <c r="Y101">
        <v>25896</v>
      </c>
      <c r="Z101">
        <v>2373972</v>
      </c>
      <c r="AA101">
        <v>25918</v>
      </c>
      <c r="AB101">
        <v>995110</v>
      </c>
      <c r="AC101">
        <v>6717</v>
      </c>
      <c r="AD101">
        <v>1022988</v>
      </c>
      <c r="AE101">
        <v>6767</v>
      </c>
      <c r="AF101">
        <v>2.7951004842999998</v>
      </c>
      <c r="AG101">
        <v>2</v>
      </c>
      <c r="AH101" t="e">
        <v>#N/A</v>
      </c>
      <c r="AI101" t="str">
        <v>None</v>
      </c>
      <c r="AJ101">
        <v>51.92</v>
      </c>
      <c r="AK101">
        <v>51.92</v>
      </c>
      <c r="AL101">
        <v>1.6467498011673528E+18</v>
      </c>
    </row>
    <row r="102" spans="8:38" x14ac:dyDescent="0.3">
      <c r="H102" t="str">
        <v>2022-03-08T21:04:51.213Z</v>
      </c>
      <c r="I102" t="str">
        <v>BBG000BY29C7</v>
      </c>
      <c r="J102">
        <v>35035</v>
      </c>
      <c r="K102">
        <v>20220308</v>
      </c>
      <c r="L102" t="str">
        <v>TPR</v>
      </c>
      <c r="M102" t="str">
        <v>Tapestry Inc</v>
      </c>
      <c r="N102" t="str">
        <v>NYSE</v>
      </c>
      <c r="O102" t="str">
        <v>US8760301072</v>
      </c>
      <c r="P102">
        <v>32.520000000000003</v>
      </c>
      <c r="Q102">
        <v>44100</v>
      </c>
      <c r="R102">
        <v>33.880000000000003</v>
      </c>
      <c r="S102" t="str">
        <v>12:46:33.009714944</v>
      </c>
      <c r="T102">
        <v>31.71</v>
      </c>
      <c r="U102" t="str">
        <v>10:08:42.999566848</v>
      </c>
      <c r="V102">
        <v>32.43</v>
      </c>
      <c r="W102">
        <v>222744</v>
      </c>
      <c r="X102">
        <v>4558149</v>
      </c>
      <c r="Y102">
        <v>53434</v>
      </c>
      <c r="Z102">
        <v>4568051</v>
      </c>
      <c r="AA102">
        <v>53592</v>
      </c>
      <c r="AB102">
        <v>1344811</v>
      </c>
      <c r="AC102">
        <v>9398</v>
      </c>
      <c r="AD102">
        <v>1445918</v>
      </c>
      <c r="AE102">
        <v>9425</v>
      </c>
      <c r="AF102">
        <v>1.3902963189999999</v>
      </c>
      <c r="AG102">
        <v>1</v>
      </c>
      <c r="AH102" t="e">
        <v>#N/A</v>
      </c>
      <c r="AI102" t="str">
        <v>None</v>
      </c>
      <c r="AJ102">
        <v>32.65</v>
      </c>
      <c r="AK102">
        <v>32.67</v>
      </c>
      <c r="AL102">
        <v>1.6467498008669883E+18</v>
      </c>
    </row>
    <row r="103" spans="8:38" x14ac:dyDescent="0.3">
      <c r="H103" t="str">
        <v>2022-03-09T21:03:35.075Z</v>
      </c>
      <c r="I103" t="str">
        <v>BBG000BS7KS3</v>
      </c>
      <c r="J103">
        <v>32840</v>
      </c>
      <c r="K103">
        <v>20220309</v>
      </c>
      <c r="L103" t="str">
        <v>TAP</v>
      </c>
      <c r="M103" t="str">
        <v>Molson Coors Beverage Company</v>
      </c>
      <c r="N103" t="str">
        <v>NYSE</v>
      </c>
      <c r="O103" t="str">
        <v>US60871R2094</v>
      </c>
      <c r="P103">
        <v>53.01</v>
      </c>
      <c r="Q103">
        <v>48195</v>
      </c>
      <c r="R103">
        <v>53.78</v>
      </c>
      <c r="S103" t="str">
        <v>09:32:52.015428608</v>
      </c>
      <c r="T103">
        <v>51.89</v>
      </c>
      <c r="U103" t="str">
        <v>09:58:10.176352000</v>
      </c>
      <c r="V103">
        <v>52.48</v>
      </c>
      <c r="W103">
        <v>205176</v>
      </c>
      <c r="X103">
        <v>1713470</v>
      </c>
      <c r="Y103">
        <v>20346</v>
      </c>
      <c r="Z103">
        <v>1714768</v>
      </c>
      <c r="AA103">
        <v>20367</v>
      </c>
      <c r="AB103">
        <v>795758</v>
      </c>
      <c r="AC103">
        <v>6237</v>
      </c>
      <c r="AD103">
        <v>1073267</v>
      </c>
      <c r="AE103">
        <v>6282</v>
      </c>
      <c r="AF103">
        <v>2.7951004842999998</v>
      </c>
      <c r="AG103">
        <v>2</v>
      </c>
      <c r="AH103" t="e">
        <v>#N/A</v>
      </c>
      <c r="AI103" t="str">
        <v>None</v>
      </c>
      <c r="AJ103">
        <v>52.84</v>
      </c>
      <c r="AK103">
        <v>52.8</v>
      </c>
      <c r="AL103">
        <v>1.6468362011278108E+18</v>
      </c>
    </row>
    <row r="104" spans="8:38" x14ac:dyDescent="0.3">
      <c r="H104" t="str">
        <v>2022-03-09T21:04:55.397Z</v>
      </c>
      <c r="I104" t="str">
        <v>BBG000BY29C7</v>
      </c>
      <c r="J104">
        <v>35035</v>
      </c>
      <c r="K104">
        <v>20220309</v>
      </c>
      <c r="L104" t="str">
        <v>TPR</v>
      </c>
      <c r="M104" t="str">
        <v>Tapestry Inc</v>
      </c>
      <c r="N104" t="str">
        <v>NYSE</v>
      </c>
      <c r="O104" t="str">
        <v>US8760301072</v>
      </c>
      <c r="P104">
        <v>34.53</v>
      </c>
      <c r="Q104">
        <v>94760</v>
      </c>
      <c r="R104">
        <v>36.130000000000003</v>
      </c>
      <c r="S104" t="str">
        <v>12:38:55.025787904</v>
      </c>
      <c r="T104">
        <v>34.04</v>
      </c>
      <c r="U104" t="str">
        <v>09:30:00.805626624</v>
      </c>
      <c r="V104">
        <v>35.880000000000003</v>
      </c>
      <c r="W104">
        <v>256296</v>
      </c>
      <c r="X104">
        <v>4568215</v>
      </c>
      <c r="Y104">
        <v>47096</v>
      </c>
      <c r="Z104">
        <v>4585119</v>
      </c>
      <c r="AA104">
        <v>47285</v>
      </c>
      <c r="AB104">
        <v>1701500</v>
      </c>
      <c r="AC104">
        <v>10808</v>
      </c>
      <c r="AD104">
        <v>1744764</v>
      </c>
      <c r="AE104">
        <v>10840</v>
      </c>
      <c r="AF104">
        <v>1.3902963189999999</v>
      </c>
      <c r="AG104">
        <v>1</v>
      </c>
      <c r="AH104" t="e">
        <v>#N/A</v>
      </c>
      <c r="AI104" t="str">
        <v>None</v>
      </c>
      <c r="AJ104">
        <v>35.659999999999997</v>
      </c>
      <c r="AK104">
        <v>35.659999999999997</v>
      </c>
      <c r="AL104">
        <v>1.6468363567282463E+18</v>
      </c>
    </row>
    <row r="105" spans="8:38" x14ac:dyDescent="0.3">
      <c r="H105" t="str">
        <v>2022-03-10T21:02:46.384Z</v>
      </c>
      <c r="I105" t="str">
        <v>BBG000BS7KS3</v>
      </c>
      <c r="J105">
        <v>32840</v>
      </c>
      <c r="K105">
        <v>20220310</v>
      </c>
      <c r="L105" t="str">
        <v>TAP</v>
      </c>
      <c r="M105" t="str">
        <v>Molson Coors Beverage Company</v>
      </c>
      <c r="N105" t="str">
        <v>NYSE</v>
      </c>
      <c r="O105" t="str">
        <v>US60871R2094</v>
      </c>
      <c r="P105">
        <v>51.92</v>
      </c>
      <c r="Q105">
        <v>13769</v>
      </c>
      <c r="R105">
        <v>52</v>
      </c>
      <c r="S105" t="str">
        <v>09:30:03.314879488</v>
      </c>
      <c r="T105">
        <v>50.03</v>
      </c>
      <c r="U105" t="str">
        <v>15:41:27.419923456</v>
      </c>
      <c r="V105">
        <v>50.34</v>
      </c>
      <c r="W105">
        <v>167023</v>
      </c>
      <c r="X105">
        <v>1409856</v>
      </c>
      <c r="Y105">
        <v>22968</v>
      </c>
      <c r="Z105">
        <v>1410185</v>
      </c>
      <c r="AA105">
        <v>22981</v>
      </c>
      <c r="AB105">
        <v>526051</v>
      </c>
      <c r="AC105">
        <v>6042</v>
      </c>
      <c r="AD105">
        <v>561903</v>
      </c>
      <c r="AE105">
        <v>6083</v>
      </c>
      <c r="AF105">
        <v>2.7951004842999998</v>
      </c>
      <c r="AG105">
        <v>2</v>
      </c>
      <c r="AH105" t="e">
        <v>#N/A</v>
      </c>
      <c r="AI105" t="str">
        <v>None</v>
      </c>
      <c r="AJ105">
        <v>50.56</v>
      </c>
      <c r="AK105">
        <v>50.56</v>
      </c>
      <c r="AL105">
        <v>1.6469226009602143E+18</v>
      </c>
    </row>
    <row r="106" spans="8:38" x14ac:dyDescent="0.3">
      <c r="H106" t="str">
        <v>2022-03-10T21:05:18.770Z</v>
      </c>
      <c r="I106" t="str">
        <v>BBG000BY29C7</v>
      </c>
      <c r="J106">
        <v>35035</v>
      </c>
      <c r="K106">
        <v>20220310</v>
      </c>
      <c r="L106" t="str">
        <v>TPR</v>
      </c>
      <c r="M106" t="str">
        <v>Tapestry Inc</v>
      </c>
      <c r="N106" t="str">
        <v>NYSE</v>
      </c>
      <c r="O106" t="str">
        <v>US8760301072</v>
      </c>
      <c r="P106">
        <v>34.97</v>
      </c>
      <c r="Q106">
        <v>33598</v>
      </c>
      <c r="R106">
        <v>36.28</v>
      </c>
      <c r="S106" t="str">
        <v>10:19:25.946754560</v>
      </c>
      <c r="T106">
        <v>34.75</v>
      </c>
      <c r="U106" t="str">
        <v>09:30:36.202972416</v>
      </c>
      <c r="V106">
        <v>35.57</v>
      </c>
      <c r="W106">
        <v>254198</v>
      </c>
      <c r="X106">
        <v>3510882</v>
      </c>
      <c r="Y106">
        <v>39377</v>
      </c>
      <c r="Z106">
        <v>3512230</v>
      </c>
      <c r="AA106">
        <v>39396</v>
      </c>
      <c r="AB106">
        <v>848706</v>
      </c>
      <c r="AC106">
        <v>8312</v>
      </c>
      <c r="AD106">
        <v>928349</v>
      </c>
      <c r="AE106">
        <v>8356</v>
      </c>
      <c r="AF106">
        <v>1.3902963189999999</v>
      </c>
      <c r="AG106">
        <v>1</v>
      </c>
      <c r="AH106" t="e">
        <v>#N/A</v>
      </c>
      <c r="AI106" t="str">
        <v>None</v>
      </c>
      <c r="AJ106">
        <v>35.630000000000003</v>
      </c>
      <c r="AK106">
        <v>35.630000000000003</v>
      </c>
      <c r="AL106">
        <v>1.6469226008840328E+18</v>
      </c>
    </row>
    <row r="107" spans="8:38" x14ac:dyDescent="0.3">
      <c r="H107" t="str">
        <v>2022-03-11T21:03:04.135Z</v>
      </c>
      <c r="I107" t="str">
        <v>BBG000BS7KS3</v>
      </c>
      <c r="J107">
        <v>32840</v>
      </c>
      <c r="K107">
        <v>20220311</v>
      </c>
      <c r="L107" t="str">
        <v>TAP</v>
      </c>
      <c r="M107" t="str">
        <v>Molson Coors Beverage Company</v>
      </c>
      <c r="N107" t="str">
        <v>NYSE</v>
      </c>
      <c r="O107" t="str">
        <v>US60871R2094</v>
      </c>
      <c r="P107">
        <v>50.75</v>
      </c>
      <c r="Q107">
        <v>11294</v>
      </c>
      <c r="R107">
        <v>51.55</v>
      </c>
      <c r="S107" t="str">
        <v>09:49:59.732143616</v>
      </c>
      <c r="T107">
        <v>50.77</v>
      </c>
      <c r="U107" t="str">
        <v>15:58:39.646318336</v>
      </c>
      <c r="V107">
        <v>50.82</v>
      </c>
      <c r="W107">
        <v>208904</v>
      </c>
      <c r="X107">
        <v>1045440</v>
      </c>
      <c r="Y107">
        <v>15216</v>
      </c>
      <c r="Z107">
        <v>1046166</v>
      </c>
      <c r="AA107">
        <v>15244</v>
      </c>
      <c r="AB107">
        <v>368550</v>
      </c>
      <c r="AC107">
        <v>4053</v>
      </c>
      <c r="AD107">
        <v>389041</v>
      </c>
      <c r="AE107">
        <v>4093</v>
      </c>
      <c r="AF107">
        <v>2.7951004842999998</v>
      </c>
      <c r="AG107">
        <v>2</v>
      </c>
      <c r="AH107" t="e">
        <v>#N/A</v>
      </c>
      <c r="AI107" t="str">
        <v>None</v>
      </c>
      <c r="AJ107">
        <v>51.03</v>
      </c>
      <c r="AK107">
        <v>51.03</v>
      </c>
      <c r="AL107">
        <v>1.6470090009359342E+18</v>
      </c>
    </row>
    <row r="108" spans="8:38" x14ac:dyDescent="0.3">
      <c r="H108" t="str">
        <v>2022-03-11T21:05:25.993Z</v>
      </c>
      <c r="I108" t="str">
        <v>BBG000BY29C7</v>
      </c>
      <c r="J108">
        <v>35035</v>
      </c>
      <c r="K108">
        <v>20220311</v>
      </c>
      <c r="L108" t="str">
        <v>TPR</v>
      </c>
      <c r="M108" t="str">
        <v>Tapestry Inc</v>
      </c>
      <c r="N108" t="str">
        <v>NYSE</v>
      </c>
      <c r="O108" t="str">
        <v>US8760301072</v>
      </c>
      <c r="P108">
        <v>35.93</v>
      </c>
      <c r="Q108">
        <v>21300</v>
      </c>
      <c r="R108">
        <v>35.99</v>
      </c>
      <c r="S108" t="str">
        <v>09:30:09.080996864</v>
      </c>
      <c r="T108">
        <v>34.29</v>
      </c>
      <c r="U108" t="str">
        <v>15:46:50.207993344</v>
      </c>
      <c r="V108">
        <v>34.35</v>
      </c>
      <c r="W108">
        <v>275860</v>
      </c>
      <c r="X108">
        <v>3404512</v>
      </c>
      <c r="Y108">
        <v>36361</v>
      </c>
      <c r="Z108">
        <v>3404741</v>
      </c>
      <c r="AA108">
        <v>36370</v>
      </c>
      <c r="AB108">
        <v>752532</v>
      </c>
      <c r="AC108">
        <v>6140</v>
      </c>
      <c r="AD108">
        <v>1286736</v>
      </c>
      <c r="AE108">
        <v>6170</v>
      </c>
      <c r="AF108">
        <v>1.3902963189999999</v>
      </c>
      <c r="AG108">
        <v>1</v>
      </c>
      <c r="AH108" t="e">
        <v>#N/A</v>
      </c>
      <c r="AI108" t="str">
        <v>None</v>
      </c>
      <c r="AJ108">
        <v>34.799999999999997</v>
      </c>
      <c r="AK108">
        <v>34.75</v>
      </c>
      <c r="AL108">
        <v>1.6470090007990438E+18</v>
      </c>
    </row>
    <row r="109" spans="8:38" x14ac:dyDescent="0.3">
      <c r="H109" t="str">
        <v>2022-03-14T20:02:58.078Z</v>
      </c>
      <c r="I109" t="str">
        <v>BBG000BY29C7</v>
      </c>
      <c r="J109">
        <v>35035</v>
      </c>
      <c r="K109">
        <v>20220314</v>
      </c>
      <c r="L109" t="str">
        <v>TPR</v>
      </c>
      <c r="M109" t="str">
        <v>Tapestry Inc</v>
      </c>
      <c r="N109" t="str">
        <v>NYSE</v>
      </c>
      <c r="O109" t="str">
        <v>US8760301072</v>
      </c>
      <c r="P109">
        <v>34.43</v>
      </c>
      <c r="Q109">
        <v>28070</v>
      </c>
      <c r="R109">
        <v>34.729999999999997</v>
      </c>
      <c r="S109" t="str">
        <v>10:26:09.752434176</v>
      </c>
      <c r="T109">
        <v>33.380000000000003</v>
      </c>
      <c r="U109" t="str">
        <v>13:34:29.285881856</v>
      </c>
      <c r="V109">
        <v>33.74</v>
      </c>
      <c r="W109">
        <v>460943</v>
      </c>
      <c r="X109">
        <v>3885670</v>
      </c>
      <c r="Y109">
        <v>41602</v>
      </c>
      <c r="Z109">
        <v>3889355</v>
      </c>
      <c r="AA109">
        <v>41637</v>
      </c>
      <c r="AB109">
        <v>1141579</v>
      </c>
      <c r="AC109">
        <v>7445</v>
      </c>
      <c r="AD109">
        <v>1503767</v>
      </c>
      <c r="AE109">
        <v>7480</v>
      </c>
      <c r="AF109">
        <v>1.3902963189999999</v>
      </c>
      <c r="AG109">
        <v>1</v>
      </c>
      <c r="AH109" t="e">
        <v>#N/A</v>
      </c>
      <c r="AI109" t="str">
        <v>None</v>
      </c>
      <c r="AJ109">
        <v>33.92</v>
      </c>
      <c r="AK109">
        <v>33.909999999999997</v>
      </c>
      <c r="AL109">
        <v>1.6472646008065795E+18</v>
      </c>
    </row>
    <row r="110" spans="8:38" x14ac:dyDescent="0.3">
      <c r="H110" t="str">
        <v>2022-03-14T20:03:47.723Z</v>
      </c>
      <c r="I110" t="str">
        <v>BBG000BS7KS3</v>
      </c>
      <c r="J110">
        <v>32840</v>
      </c>
      <c r="K110">
        <v>20220314</v>
      </c>
      <c r="L110" t="str">
        <v>TAP</v>
      </c>
      <c r="M110" t="str">
        <v>Molson Coors Beverage Company</v>
      </c>
      <c r="N110" t="str">
        <v>NYSE</v>
      </c>
      <c r="O110" t="str">
        <v>US60871R2094</v>
      </c>
      <c r="P110">
        <v>51.5</v>
      </c>
      <c r="Q110">
        <v>10811</v>
      </c>
      <c r="R110">
        <v>51.49</v>
      </c>
      <c r="S110" t="str">
        <v>09:30:17.555001856</v>
      </c>
      <c r="T110">
        <v>50.29</v>
      </c>
      <c r="U110" t="str">
        <v>14:33:04.973996288</v>
      </c>
      <c r="V110">
        <v>50.81</v>
      </c>
      <c r="W110">
        <v>312875</v>
      </c>
      <c r="X110">
        <v>968546</v>
      </c>
      <c r="Y110">
        <v>12432</v>
      </c>
      <c r="Z110">
        <v>969695</v>
      </c>
      <c r="AA110">
        <v>12450</v>
      </c>
      <c r="AB110">
        <v>343260</v>
      </c>
      <c r="AC110">
        <v>3576</v>
      </c>
      <c r="AD110">
        <v>362827</v>
      </c>
      <c r="AE110">
        <v>3617</v>
      </c>
      <c r="AF110">
        <v>2.7951004842999998</v>
      </c>
      <c r="AG110">
        <v>2</v>
      </c>
      <c r="AH110" t="e">
        <v>#N/A</v>
      </c>
      <c r="AI110" t="str">
        <v>None</v>
      </c>
      <c r="AJ110">
        <v>50.8</v>
      </c>
      <c r="AK110">
        <v>50.8</v>
      </c>
      <c r="AL110">
        <v>1.6472646009817313E+18</v>
      </c>
    </row>
    <row r="111" spans="8:38" x14ac:dyDescent="0.3">
      <c r="H111" t="str">
        <v>2022-03-15T20:02:38.917Z</v>
      </c>
      <c r="I111" t="str">
        <v>BBG000BS7KS3</v>
      </c>
      <c r="J111">
        <v>32840</v>
      </c>
      <c r="K111">
        <v>20220315</v>
      </c>
      <c r="L111" t="str">
        <v>TAP</v>
      </c>
      <c r="M111" t="str">
        <v>Molson Coors Beverage Company</v>
      </c>
      <c r="N111" t="str">
        <v>NYSE</v>
      </c>
      <c r="O111" t="str">
        <v>US60871R2094</v>
      </c>
      <c r="P111">
        <v>51.14</v>
      </c>
      <c r="Q111">
        <v>9968</v>
      </c>
      <c r="R111">
        <v>51.37</v>
      </c>
      <c r="S111" t="str">
        <v>09:40:57.856208128</v>
      </c>
      <c r="T111">
        <v>50.39</v>
      </c>
      <c r="U111" t="str">
        <v>14:20:20.797288960</v>
      </c>
      <c r="V111">
        <v>50.85</v>
      </c>
      <c r="W111">
        <v>190248</v>
      </c>
      <c r="X111">
        <v>858879</v>
      </c>
      <c r="Y111">
        <v>13510</v>
      </c>
      <c r="Z111">
        <v>859313</v>
      </c>
      <c r="AA111">
        <v>13519</v>
      </c>
      <c r="AB111">
        <v>337668</v>
      </c>
      <c r="AC111">
        <v>5283</v>
      </c>
      <c r="AD111">
        <v>363630</v>
      </c>
      <c r="AE111">
        <v>5317</v>
      </c>
      <c r="AF111">
        <v>2.7951004842999998</v>
      </c>
      <c r="AG111">
        <v>2</v>
      </c>
      <c r="AH111" t="e">
        <v>#N/A</v>
      </c>
      <c r="AI111" t="str">
        <v>None</v>
      </c>
      <c r="AJ111">
        <v>50.78</v>
      </c>
      <c r="AK111">
        <v>50.78</v>
      </c>
      <c r="AL111">
        <v>1.6473510009420134E+18</v>
      </c>
    </row>
    <row r="112" spans="8:38" x14ac:dyDescent="0.3">
      <c r="H112" t="str">
        <v>2022-03-15T20:04:48.823Z</v>
      </c>
      <c r="I112" t="str">
        <v>BBG000BY29C7</v>
      </c>
      <c r="J112">
        <v>35035</v>
      </c>
      <c r="K112">
        <v>20220315</v>
      </c>
      <c r="L112" t="str">
        <v>TPR</v>
      </c>
      <c r="M112" t="str">
        <v>Tapestry Inc</v>
      </c>
      <c r="N112" t="str">
        <v>NYSE</v>
      </c>
      <c r="O112" t="str">
        <v>US8760301072</v>
      </c>
      <c r="P112">
        <v>34.799999999999997</v>
      </c>
      <c r="Q112">
        <v>72396</v>
      </c>
      <c r="R112">
        <v>35.89</v>
      </c>
      <c r="S112" t="str">
        <v>10:01:15.589267200</v>
      </c>
      <c r="T112">
        <v>34.35</v>
      </c>
      <c r="U112" t="str">
        <v>09:30:00.951952128</v>
      </c>
      <c r="V112">
        <v>35.15</v>
      </c>
      <c r="W112">
        <v>526672</v>
      </c>
      <c r="X112">
        <v>3701184</v>
      </c>
      <c r="Y112">
        <v>37215</v>
      </c>
      <c r="Z112">
        <v>3704910</v>
      </c>
      <c r="AA112">
        <v>37263</v>
      </c>
      <c r="AB112">
        <v>1098965</v>
      </c>
      <c r="AC112">
        <v>8196</v>
      </c>
      <c r="AD112">
        <v>2150867</v>
      </c>
      <c r="AE112">
        <v>8236</v>
      </c>
      <c r="AF112">
        <v>1.3902963189999999</v>
      </c>
      <c r="AG112">
        <v>1</v>
      </c>
      <c r="AH112" t="e">
        <v>#N/A</v>
      </c>
      <c r="AI112" t="str">
        <v>None</v>
      </c>
      <c r="AJ112">
        <v>35.06</v>
      </c>
      <c r="AK112">
        <v>35.08</v>
      </c>
      <c r="AL112">
        <v>1.6473510008669949E+18</v>
      </c>
    </row>
    <row r="113" spans="8:38" x14ac:dyDescent="0.3">
      <c r="H113" t="str">
        <v>2022-03-16T20:02:30.323Z</v>
      </c>
      <c r="I113" t="str">
        <v>BBG000BS7KS3</v>
      </c>
      <c r="J113">
        <v>32840</v>
      </c>
      <c r="K113">
        <v>20220316</v>
      </c>
      <c r="L113" t="str">
        <v>TAP</v>
      </c>
      <c r="M113" t="str">
        <v>Molson Coors Beverage Company</v>
      </c>
      <c r="N113" t="str">
        <v>NYSE</v>
      </c>
      <c r="O113" t="str">
        <v>US60871R2094</v>
      </c>
      <c r="P113">
        <v>51.14</v>
      </c>
      <c r="Q113">
        <v>13828</v>
      </c>
      <c r="R113">
        <v>52.19</v>
      </c>
      <c r="S113" t="str">
        <v>15:59:37.060581376</v>
      </c>
      <c r="T113">
        <v>50.9</v>
      </c>
      <c r="U113" t="str">
        <v>09:50:22.291684352</v>
      </c>
      <c r="V113">
        <v>52.13</v>
      </c>
      <c r="W113">
        <v>261103</v>
      </c>
      <c r="X113">
        <v>993134</v>
      </c>
      <c r="Y113">
        <v>13610</v>
      </c>
      <c r="Z113">
        <v>995122</v>
      </c>
      <c r="AA113">
        <v>13631</v>
      </c>
      <c r="AB113">
        <v>390536</v>
      </c>
      <c r="AC113">
        <v>4140</v>
      </c>
      <c r="AD113">
        <v>410903</v>
      </c>
      <c r="AE113">
        <v>4180</v>
      </c>
      <c r="AF113">
        <v>2.7951004842999998</v>
      </c>
      <c r="AG113">
        <v>2</v>
      </c>
      <c r="AH113" t="e">
        <v>#N/A</v>
      </c>
      <c r="AI113" t="str">
        <v>None</v>
      </c>
      <c r="AJ113">
        <v>51.67</v>
      </c>
      <c r="AK113">
        <v>51.67</v>
      </c>
      <c r="AL113">
        <v>1.6474374009310001E+18</v>
      </c>
    </row>
    <row r="114" spans="8:38" x14ac:dyDescent="0.3">
      <c r="H114" t="str">
        <v>2022-03-16T20:04:21.859Z</v>
      </c>
      <c r="I114" t="str">
        <v>BBG000BY29C7</v>
      </c>
      <c r="J114">
        <v>35035</v>
      </c>
      <c r="K114">
        <v>20220316</v>
      </c>
      <c r="L114" t="str">
        <v>TPR</v>
      </c>
      <c r="M114" t="str">
        <v>Tapestry Inc</v>
      </c>
      <c r="N114" t="str">
        <v>NYSE</v>
      </c>
      <c r="O114" t="str">
        <v>US8760301072</v>
      </c>
      <c r="P114">
        <v>35.94</v>
      </c>
      <c r="Q114">
        <v>38605</v>
      </c>
      <c r="R114">
        <v>37.86</v>
      </c>
      <c r="S114" t="str">
        <v>10:36:15.269104896</v>
      </c>
      <c r="T114">
        <v>35.979999999999997</v>
      </c>
      <c r="U114" t="str">
        <v>09:30:08.847556352</v>
      </c>
      <c r="V114">
        <v>37.06</v>
      </c>
      <c r="W114">
        <v>406965</v>
      </c>
      <c r="X114">
        <v>3615649</v>
      </c>
      <c r="Y114">
        <v>39482</v>
      </c>
      <c r="Z114">
        <v>3626469</v>
      </c>
      <c r="AA114">
        <v>39566</v>
      </c>
      <c r="AB114">
        <v>992957</v>
      </c>
      <c r="AC114">
        <v>8160</v>
      </c>
      <c r="AD114">
        <v>1041031</v>
      </c>
      <c r="AE114">
        <v>8194</v>
      </c>
      <c r="AF114">
        <v>1.3902963189999999</v>
      </c>
      <c r="AG114">
        <v>1</v>
      </c>
      <c r="AH114" t="e">
        <v>#N/A</v>
      </c>
      <c r="AI114" t="str">
        <v>None</v>
      </c>
      <c r="AJ114">
        <v>36.950000000000003</v>
      </c>
      <c r="AK114">
        <v>36.950000000000003</v>
      </c>
      <c r="AL114">
        <v>1.6474374008309322E+18</v>
      </c>
    </row>
    <row r="115" spans="8:38" x14ac:dyDescent="0.3">
      <c r="H115" t="str">
        <v>2022-03-17T20:03:46.912Z</v>
      </c>
      <c r="I115" t="str">
        <v>BBG000BS7KS3</v>
      </c>
      <c r="J115">
        <v>32840</v>
      </c>
      <c r="K115">
        <v>20220317</v>
      </c>
      <c r="L115" t="str">
        <v>TAP</v>
      </c>
      <c r="M115" t="str">
        <v>Molson Coors Beverage Company</v>
      </c>
      <c r="N115" t="str">
        <v>NYSE</v>
      </c>
      <c r="O115" t="str">
        <v>US60871R2094</v>
      </c>
      <c r="P115">
        <v>51.98</v>
      </c>
      <c r="Q115">
        <v>8467</v>
      </c>
      <c r="R115">
        <v>52.68</v>
      </c>
      <c r="S115" t="str">
        <v>13:49:12.386095616</v>
      </c>
      <c r="T115">
        <v>51.35</v>
      </c>
      <c r="U115" t="str">
        <v>10:35:31.468898816</v>
      </c>
      <c r="V115">
        <v>52.39</v>
      </c>
      <c r="W115">
        <v>174261</v>
      </c>
      <c r="X115">
        <v>844245</v>
      </c>
      <c r="Y115">
        <v>12191</v>
      </c>
      <c r="Z115">
        <v>844431</v>
      </c>
      <c r="AA115">
        <v>12197</v>
      </c>
      <c r="AB115">
        <v>336508</v>
      </c>
      <c r="AC115">
        <v>3778</v>
      </c>
      <c r="AD115">
        <v>359381</v>
      </c>
      <c r="AE115">
        <v>3811</v>
      </c>
      <c r="AF115">
        <v>2.7951004842999998</v>
      </c>
      <c r="AG115">
        <v>2</v>
      </c>
      <c r="AH115" t="e">
        <v>#N/A</v>
      </c>
      <c r="AI115" t="str">
        <v>None</v>
      </c>
      <c r="AJ115">
        <v>52.23</v>
      </c>
      <c r="AK115">
        <v>52.24</v>
      </c>
      <c r="AL115">
        <v>1.6475238009655089E+18</v>
      </c>
    </row>
    <row r="116" spans="8:38" x14ac:dyDescent="0.3">
      <c r="H116" t="str">
        <v>2022-03-17T20:05:12.601Z</v>
      </c>
      <c r="I116" t="str">
        <v>BBG000BY29C7</v>
      </c>
      <c r="J116">
        <v>35035</v>
      </c>
      <c r="K116">
        <v>20220317</v>
      </c>
      <c r="L116" t="str">
        <v>TPR</v>
      </c>
      <c r="M116" t="str">
        <v>Tapestry Inc</v>
      </c>
      <c r="N116" t="str">
        <v>NYSE</v>
      </c>
      <c r="O116" t="str">
        <v>US8760301072</v>
      </c>
      <c r="P116">
        <v>36.630000000000003</v>
      </c>
      <c r="Q116">
        <v>28201</v>
      </c>
      <c r="R116">
        <v>37.43</v>
      </c>
      <c r="S116" t="str">
        <v>15:59:59.449950208</v>
      </c>
      <c r="T116">
        <v>36.44</v>
      </c>
      <c r="U116" t="str">
        <v>09:32:29.327606528</v>
      </c>
      <c r="V116">
        <v>37.43</v>
      </c>
      <c r="W116">
        <v>381302</v>
      </c>
      <c r="X116">
        <v>2661146</v>
      </c>
      <c r="Y116">
        <v>28824</v>
      </c>
      <c r="Z116">
        <v>2661329</v>
      </c>
      <c r="AA116">
        <v>28831</v>
      </c>
      <c r="AB116">
        <v>467224</v>
      </c>
      <c r="AC116">
        <v>4268</v>
      </c>
      <c r="AD116">
        <v>1385355</v>
      </c>
      <c r="AE116">
        <v>4308</v>
      </c>
      <c r="AF116">
        <v>1.3902963189999999</v>
      </c>
      <c r="AG116">
        <v>1</v>
      </c>
      <c r="AH116" t="e">
        <v>#N/A</v>
      </c>
      <c r="AI116" t="str">
        <v>None</v>
      </c>
      <c r="AJ116">
        <v>37.17</v>
      </c>
      <c r="AK116">
        <v>37.229999999999997</v>
      </c>
      <c r="AL116">
        <v>1.6475238008517335E+18</v>
      </c>
    </row>
    <row r="117" spans="8:38" x14ac:dyDescent="0.3">
      <c r="H117" t="str">
        <v>2022-03-18T20:03:37.849Z</v>
      </c>
      <c r="I117" t="str">
        <v>BBG000BS7KS3</v>
      </c>
      <c r="J117">
        <v>32840</v>
      </c>
      <c r="K117">
        <v>20220318</v>
      </c>
      <c r="L117" t="str">
        <v>TAP</v>
      </c>
      <c r="M117" t="str">
        <v>Molson Coors Beverage Company</v>
      </c>
      <c r="N117" t="str">
        <v>NYSE</v>
      </c>
      <c r="O117" t="str">
        <v>US60871R2094</v>
      </c>
      <c r="P117">
        <v>52.3</v>
      </c>
      <c r="Q117">
        <v>152499</v>
      </c>
      <c r="R117">
        <v>53.11</v>
      </c>
      <c r="S117" t="str">
        <v>15:56:35.142078208</v>
      </c>
      <c r="T117">
        <v>51.71</v>
      </c>
      <c r="U117" t="str">
        <v>10:18:42.651835136</v>
      </c>
      <c r="V117">
        <v>52.96</v>
      </c>
      <c r="W117">
        <v>1240915</v>
      </c>
      <c r="X117">
        <v>2136886</v>
      </c>
      <c r="Y117">
        <v>12282</v>
      </c>
      <c r="Z117">
        <v>2137108</v>
      </c>
      <c r="AA117">
        <v>12287</v>
      </c>
      <c r="AB117">
        <v>270211</v>
      </c>
      <c r="AC117">
        <v>4326</v>
      </c>
      <c r="AD117">
        <v>464169</v>
      </c>
      <c r="AE117">
        <v>4395</v>
      </c>
      <c r="AF117">
        <v>2.7951004842999998</v>
      </c>
      <c r="AG117">
        <v>2</v>
      </c>
      <c r="AH117" t="e">
        <v>#N/A</v>
      </c>
      <c r="AI117" t="str">
        <v>None</v>
      </c>
      <c r="AJ117">
        <v>52.75</v>
      </c>
      <c r="AK117">
        <v>52.77</v>
      </c>
      <c r="AL117">
        <v>1.6476102012701716E+18</v>
      </c>
    </row>
    <row r="118" spans="8:38" x14ac:dyDescent="0.3">
      <c r="H118" t="str">
        <v>2022-03-18T20:03:53.855Z</v>
      </c>
      <c r="I118" t="str">
        <v>BBG000BY29C7</v>
      </c>
      <c r="J118">
        <v>35035</v>
      </c>
      <c r="K118">
        <v>20220318</v>
      </c>
      <c r="L118" t="str">
        <v>TPR</v>
      </c>
      <c r="M118" t="str">
        <v>Tapestry Inc</v>
      </c>
      <c r="N118" t="str">
        <v>NYSE</v>
      </c>
      <c r="O118" t="str">
        <v>US8760301072</v>
      </c>
      <c r="P118">
        <v>36.799999999999997</v>
      </c>
      <c r="Q118">
        <v>242298</v>
      </c>
      <c r="R118">
        <v>38.450000000000003</v>
      </c>
      <c r="S118" t="str">
        <v>15:59:28.663553792</v>
      </c>
      <c r="T118">
        <v>36.700000000000003</v>
      </c>
      <c r="U118" t="str">
        <v>09:53:50.597974784</v>
      </c>
      <c r="V118">
        <v>38.409999999999997</v>
      </c>
      <c r="W118">
        <v>3753779</v>
      </c>
      <c r="X118">
        <v>7722620</v>
      </c>
      <c r="Y118">
        <v>40303</v>
      </c>
      <c r="Z118">
        <v>7724442</v>
      </c>
      <c r="AA118">
        <v>40321</v>
      </c>
      <c r="AB118">
        <v>727639</v>
      </c>
      <c r="AC118">
        <v>8099</v>
      </c>
      <c r="AD118">
        <v>2127155</v>
      </c>
      <c r="AE118">
        <v>8177</v>
      </c>
      <c r="AF118">
        <v>1.3902963189999999</v>
      </c>
      <c r="AG118">
        <v>1</v>
      </c>
      <c r="AH118" t="e">
        <v>#N/A</v>
      </c>
      <c r="AI118" t="str">
        <v>None</v>
      </c>
      <c r="AJ118">
        <v>38.049999999999997</v>
      </c>
      <c r="AK118">
        <v>38.1</v>
      </c>
      <c r="AL118">
        <v>1.6476102009921288E+18</v>
      </c>
    </row>
    <row r="119" spans="8:38" x14ac:dyDescent="0.3">
      <c r="H119" t="str">
        <v>2022-03-21T20:03:03.978Z</v>
      </c>
      <c r="I119" t="str">
        <v>BBG000BY29C7</v>
      </c>
      <c r="J119">
        <v>35035</v>
      </c>
      <c r="K119">
        <v>20220321</v>
      </c>
      <c r="L119" t="str">
        <v>TPR</v>
      </c>
      <c r="M119" t="str">
        <v>Tapestry Inc</v>
      </c>
      <c r="N119" t="str">
        <v>NYSE</v>
      </c>
      <c r="O119" t="str">
        <v>US8760301072</v>
      </c>
      <c r="P119">
        <v>38.549999999999997</v>
      </c>
      <c r="Q119">
        <v>25042</v>
      </c>
      <c r="R119">
        <v>38.700000000000003</v>
      </c>
      <c r="S119" t="str">
        <v>09:35:11.016615168</v>
      </c>
      <c r="T119">
        <v>37.28</v>
      </c>
      <c r="U119" t="str">
        <v>13:19:45.733528832</v>
      </c>
      <c r="V119">
        <v>37.880000000000003</v>
      </c>
      <c r="W119">
        <v>305329</v>
      </c>
      <c r="X119">
        <v>2688941</v>
      </c>
      <c r="Y119">
        <v>33764</v>
      </c>
      <c r="Z119">
        <v>2689721</v>
      </c>
      <c r="AA119">
        <v>33779</v>
      </c>
      <c r="AB119">
        <v>820739</v>
      </c>
      <c r="AC119">
        <v>8895</v>
      </c>
      <c r="AD119">
        <v>972700</v>
      </c>
      <c r="AE119">
        <v>8943</v>
      </c>
      <c r="AF119">
        <v>1.3902963189999999</v>
      </c>
      <c r="AG119">
        <v>1</v>
      </c>
      <c r="AH119" t="e">
        <v>#N/A</v>
      </c>
      <c r="AI119" t="str">
        <v>None</v>
      </c>
      <c r="AJ119">
        <v>37.729999999999997</v>
      </c>
      <c r="AK119">
        <v>37.729999999999997</v>
      </c>
      <c r="AL119">
        <v>1.6478694008721864E+18</v>
      </c>
    </row>
    <row r="120" spans="8:38" x14ac:dyDescent="0.3">
      <c r="H120" t="str">
        <v>2022-03-21T20:05:15.085Z</v>
      </c>
      <c r="I120" t="str">
        <v>BBG000BS7KS3</v>
      </c>
      <c r="J120">
        <v>32840</v>
      </c>
      <c r="K120">
        <v>20220321</v>
      </c>
      <c r="L120" t="str">
        <v>TAP</v>
      </c>
      <c r="M120" t="str">
        <v>Molson Coors Beverage Company</v>
      </c>
      <c r="N120" t="str">
        <v>NYSE</v>
      </c>
      <c r="O120" t="str">
        <v>US60871R2094</v>
      </c>
      <c r="P120">
        <v>53.16</v>
      </c>
      <c r="Q120">
        <v>15609</v>
      </c>
      <c r="R120">
        <v>53.92</v>
      </c>
      <c r="S120" t="str">
        <v>10:18:46.360967680</v>
      </c>
      <c r="T120">
        <v>52.49</v>
      </c>
      <c r="U120" t="str">
        <v>14:14:56.585584384</v>
      </c>
      <c r="V120">
        <v>52.65</v>
      </c>
      <c r="W120">
        <v>184279</v>
      </c>
      <c r="X120">
        <v>951996</v>
      </c>
      <c r="Y120">
        <v>12382</v>
      </c>
      <c r="Z120">
        <v>952000</v>
      </c>
      <c r="AA120">
        <v>12385</v>
      </c>
      <c r="AB120">
        <v>455750</v>
      </c>
      <c r="AC120">
        <v>4079</v>
      </c>
      <c r="AD120">
        <v>478113</v>
      </c>
      <c r="AE120">
        <v>4118</v>
      </c>
      <c r="AF120">
        <v>2.7951004842999998</v>
      </c>
      <c r="AG120">
        <v>2</v>
      </c>
      <c r="AH120" t="e">
        <v>#N/A</v>
      </c>
      <c r="AI120" t="str">
        <v>None</v>
      </c>
      <c r="AJ120">
        <v>52.85</v>
      </c>
      <c r="AK120">
        <v>52.85</v>
      </c>
      <c r="AL120">
        <v>1.6478694010544758E+18</v>
      </c>
    </row>
    <row r="121" spans="8:38" x14ac:dyDescent="0.3">
      <c r="H121" t="str">
        <v>2022-03-22T20:02:51.556Z</v>
      </c>
      <c r="I121" t="str">
        <v>BBG000BY29C7</v>
      </c>
      <c r="J121">
        <v>35035</v>
      </c>
      <c r="K121">
        <v>20220322</v>
      </c>
      <c r="L121" t="str">
        <v>TPR</v>
      </c>
      <c r="M121" t="str">
        <v>Tapestry Inc</v>
      </c>
      <c r="N121" t="str">
        <v>NYSE</v>
      </c>
      <c r="O121" t="str">
        <v>US8760301072</v>
      </c>
      <c r="P121">
        <v>38.380000000000003</v>
      </c>
      <c r="Q121">
        <v>29796</v>
      </c>
      <c r="R121">
        <v>39.119999999999997</v>
      </c>
      <c r="S121" t="str">
        <v>09:54:56.960136448</v>
      </c>
      <c r="T121">
        <v>37.58</v>
      </c>
      <c r="U121" t="str">
        <v>14:31:34.356200448</v>
      </c>
      <c r="V121">
        <v>37.85</v>
      </c>
      <c r="W121">
        <v>520830</v>
      </c>
      <c r="X121">
        <v>3136468</v>
      </c>
      <c r="Y121">
        <v>31389</v>
      </c>
      <c r="Z121">
        <v>3137545</v>
      </c>
      <c r="AA121">
        <v>31418</v>
      </c>
      <c r="AB121">
        <v>1530444</v>
      </c>
      <c r="AC121">
        <v>8074</v>
      </c>
      <c r="AD121">
        <v>2375423</v>
      </c>
      <c r="AE121">
        <v>8108</v>
      </c>
      <c r="AF121">
        <v>1.3902963189999999</v>
      </c>
      <c r="AG121">
        <v>1</v>
      </c>
      <c r="AH121" t="e">
        <v>#N/A</v>
      </c>
      <c r="AI121" t="str">
        <v>None</v>
      </c>
      <c r="AJ121">
        <v>37.89</v>
      </c>
      <c r="AK121">
        <v>37.880000000000003</v>
      </c>
      <c r="AL121">
        <v>1.6479558008467904E+18</v>
      </c>
    </row>
    <row r="122" spans="8:38" x14ac:dyDescent="0.3">
      <c r="H122" t="str">
        <v>2022-03-22T20:05:09.584Z</v>
      </c>
      <c r="I122" t="str">
        <v>BBG000BS7KS3</v>
      </c>
      <c r="J122">
        <v>32840</v>
      </c>
      <c r="K122">
        <v>20220322</v>
      </c>
      <c r="L122" t="str">
        <v>TAP</v>
      </c>
      <c r="M122" t="str">
        <v>Molson Coors Beverage Company</v>
      </c>
      <c r="N122" t="str">
        <v>NYSE</v>
      </c>
      <c r="O122" t="str">
        <v>US60871R2094</v>
      </c>
      <c r="P122">
        <v>53</v>
      </c>
      <c r="Q122">
        <v>9400</v>
      </c>
      <c r="R122">
        <v>53.08</v>
      </c>
      <c r="S122" t="str">
        <v>10:03:05.776987648</v>
      </c>
      <c r="T122">
        <v>52.16</v>
      </c>
      <c r="U122" t="str">
        <v>11:37:22.929007616</v>
      </c>
      <c r="V122">
        <v>52.88</v>
      </c>
      <c r="W122">
        <v>137672</v>
      </c>
      <c r="X122">
        <v>630219</v>
      </c>
      <c r="Y122">
        <v>10344</v>
      </c>
      <c r="Z122">
        <v>630690</v>
      </c>
      <c r="AA122">
        <v>10359</v>
      </c>
      <c r="AB122">
        <v>225881</v>
      </c>
      <c r="AC122">
        <v>3707</v>
      </c>
      <c r="AD122">
        <v>250064</v>
      </c>
      <c r="AE122">
        <v>3753</v>
      </c>
      <c r="AF122">
        <v>2.7951004842999998</v>
      </c>
      <c r="AG122">
        <v>2</v>
      </c>
      <c r="AH122" t="e">
        <v>#N/A</v>
      </c>
      <c r="AI122" t="str">
        <v>None</v>
      </c>
      <c r="AJ122">
        <v>52.77</v>
      </c>
      <c r="AK122">
        <v>52.77</v>
      </c>
      <c r="AL122">
        <v>1.6479558009962399E+18</v>
      </c>
    </row>
    <row r="123" spans="8:38" x14ac:dyDescent="0.3">
      <c r="H123" t="str">
        <v>2022-03-23T20:04:09.158Z</v>
      </c>
      <c r="I123" t="str">
        <v>BBG000BY29C7</v>
      </c>
      <c r="J123">
        <v>35035</v>
      </c>
      <c r="K123">
        <v>20220323</v>
      </c>
      <c r="L123" t="str">
        <v>TPR</v>
      </c>
      <c r="M123" t="str">
        <v>Tapestry Inc</v>
      </c>
      <c r="N123" t="str">
        <v>NYSE</v>
      </c>
      <c r="O123" t="str">
        <v>US8760301072</v>
      </c>
      <c r="P123">
        <v>37.44</v>
      </c>
      <c r="Q123">
        <v>20455</v>
      </c>
      <c r="R123">
        <v>37.75</v>
      </c>
      <c r="S123" t="str">
        <v>09:33:22.504473344</v>
      </c>
      <c r="T123">
        <v>37.22</v>
      </c>
      <c r="U123" t="str">
        <v>15:06:20.147106048</v>
      </c>
      <c r="V123">
        <v>37.53</v>
      </c>
      <c r="W123">
        <v>368321</v>
      </c>
      <c r="X123">
        <v>3147741</v>
      </c>
      <c r="Y123">
        <v>32788</v>
      </c>
      <c r="Z123">
        <v>3148132</v>
      </c>
      <c r="AA123">
        <v>32794</v>
      </c>
      <c r="AB123">
        <v>1279813</v>
      </c>
      <c r="AC123">
        <v>8331</v>
      </c>
      <c r="AD123">
        <v>2136803</v>
      </c>
      <c r="AE123">
        <v>8358</v>
      </c>
      <c r="AF123">
        <v>1.3902963189999999</v>
      </c>
      <c r="AG123">
        <v>1</v>
      </c>
      <c r="AH123" t="e">
        <v>#N/A</v>
      </c>
      <c r="AI123" t="str">
        <v>None</v>
      </c>
      <c r="AJ123">
        <v>37.49</v>
      </c>
      <c r="AK123">
        <v>37.49</v>
      </c>
      <c r="AL123">
        <v>1.648042200870828E+18</v>
      </c>
    </row>
    <row r="124" spans="8:38" x14ac:dyDescent="0.3">
      <c r="H124" t="str">
        <v>2022-03-23T20:04:58.470Z</v>
      </c>
      <c r="I124" t="str">
        <v>BBG000BS7KS3</v>
      </c>
      <c r="J124">
        <v>32840</v>
      </c>
      <c r="K124">
        <v>20220323</v>
      </c>
      <c r="L124" t="str">
        <v>TAP</v>
      </c>
      <c r="M124" t="str">
        <v>Molson Coors Beverage Company</v>
      </c>
      <c r="N124" t="str">
        <v>NYSE</v>
      </c>
      <c r="O124" t="str">
        <v>US60871R2094</v>
      </c>
      <c r="P124">
        <v>53.04</v>
      </c>
      <c r="Q124">
        <v>11272</v>
      </c>
      <c r="R124">
        <v>53.39</v>
      </c>
      <c r="S124" t="str">
        <v>09:33:43.521797888</v>
      </c>
      <c r="T124">
        <v>52.49</v>
      </c>
      <c r="U124" t="str">
        <v>15:59:25.375920128</v>
      </c>
      <c r="V124">
        <v>52.5</v>
      </c>
      <c r="W124">
        <v>148958</v>
      </c>
      <c r="X124">
        <v>685170</v>
      </c>
      <c r="Y124">
        <v>10523</v>
      </c>
      <c r="Z124">
        <v>685224</v>
      </c>
      <c r="AA124">
        <v>10532</v>
      </c>
      <c r="AB124">
        <v>236397</v>
      </c>
      <c r="AC124">
        <v>3310</v>
      </c>
      <c r="AD124">
        <v>252654</v>
      </c>
      <c r="AE124">
        <v>3352</v>
      </c>
      <c r="AF124">
        <v>2.7951004842999998</v>
      </c>
      <c r="AG124">
        <v>2</v>
      </c>
      <c r="AH124" t="e">
        <v>#N/A</v>
      </c>
      <c r="AI124" t="str">
        <v>None</v>
      </c>
      <c r="AJ124">
        <v>52.76</v>
      </c>
      <c r="AK124">
        <v>52.76</v>
      </c>
      <c r="AL124">
        <v>1.6480422009656845E+18</v>
      </c>
    </row>
    <row r="125" spans="8:38" x14ac:dyDescent="0.3">
      <c r="H125" t="str">
        <v>2022-03-24T20:04:32.572Z</v>
      </c>
      <c r="I125" t="str">
        <v>BBG000BY29C7</v>
      </c>
      <c r="J125">
        <v>35035</v>
      </c>
      <c r="K125">
        <v>20220324</v>
      </c>
      <c r="L125" t="str">
        <v>TPR</v>
      </c>
      <c r="M125" t="str">
        <v>Tapestry Inc</v>
      </c>
      <c r="N125" t="str">
        <v>NYSE</v>
      </c>
      <c r="O125" t="str">
        <v>US8760301072</v>
      </c>
      <c r="P125">
        <v>37.9</v>
      </c>
      <c r="Q125">
        <v>46710</v>
      </c>
      <c r="R125">
        <v>37.880000000000003</v>
      </c>
      <c r="S125" t="str">
        <v>09:32:40.774016000</v>
      </c>
      <c r="T125">
        <v>37.270000000000003</v>
      </c>
      <c r="U125" t="str">
        <v>11:03:10.868041728</v>
      </c>
      <c r="V125">
        <v>37.65</v>
      </c>
      <c r="W125">
        <v>344113</v>
      </c>
      <c r="X125">
        <v>2540014</v>
      </c>
      <c r="Y125">
        <v>24506</v>
      </c>
      <c r="Z125">
        <v>2540132</v>
      </c>
      <c r="AA125">
        <v>24510</v>
      </c>
      <c r="AB125">
        <v>1223426</v>
      </c>
      <c r="AC125">
        <v>5225</v>
      </c>
      <c r="AD125">
        <v>2008199</v>
      </c>
      <c r="AE125">
        <v>5265</v>
      </c>
      <c r="AF125">
        <v>1.3902963189999999</v>
      </c>
      <c r="AG125">
        <v>1</v>
      </c>
      <c r="AH125" t="e">
        <v>#N/A</v>
      </c>
      <c r="AI125" t="str">
        <v>None</v>
      </c>
      <c r="AJ125">
        <v>37.56</v>
      </c>
      <c r="AK125">
        <v>37.58</v>
      </c>
      <c r="AL125">
        <v>1.6481286008111439E+18</v>
      </c>
    </row>
    <row r="126" spans="8:38" x14ac:dyDescent="0.3">
      <c r="H126" t="str">
        <v>2022-03-24T20:05:23.715Z</v>
      </c>
      <c r="I126" t="str">
        <v>BBG000BS7KS3</v>
      </c>
      <c r="J126">
        <v>32840</v>
      </c>
      <c r="K126">
        <v>20220324</v>
      </c>
      <c r="L126" t="str">
        <v>TAP</v>
      </c>
      <c r="M126" t="str">
        <v>Molson Coors Beverage Company</v>
      </c>
      <c r="N126" t="str">
        <v>NYSE</v>
      </c>
      <c r="O126" t="str">
        <v>US60871R2094</v>
      </c>
      <c r="P126">
        <v>52.63</v>
      </c>
      <c r="Q126">
        <v>6786</v>
      </c>
      <c r="R126">
        <v>52.93</v>
      </c>
      <c r="S126" t="str">
        <v>15:59:50.633785856</v>
      </c>
      <c r="T126">
        <v>52.33</v>
      </c>
      <c r="U126" t="str">
        <v>12:34:03.806342912</v>
      </c>
      <c r="V126">
        <v>52.92</v>
      </c>
      <c r="W126">
        <v>132269</v>
      </c>
      <c r="X126">
        <v>505476</v>
      </c>
      <c r="Y126">
        <v>7628</v>
      </c>
      <c r="Z126">
        <v>505575</v>
      </c>
      <c r="AA126">
        <v>7635</v>
      </c>
      <c r="AB126">
        <v>162907</v>
      </c>
      <c r="AC126">
        <v>3194</v>
      </c>
      <c r="AD126">
        <v>223013</v>
      </c>
      <c r="AE126">
        <v>3242</v>
      </c>
      <c r="AF126">
        <v>2.7951004842999998</v>
      </c>
      <c r="AG126">
        <v>2</v>
      </c>
      <c r="AH126" t="e">
        <v>#N/A</v>
      </c>
      <c r="AI126" t="str">
        <v>None</v>
      </c>
      <c r="AJ126">
        <v>52.7</v>
      </c>
      <c r="AK126">
        <v>52.72</v>
      </c>
      <c r="AL126">
        <v>1.6481286009171159E+18</v>
      </c>
    </row>
    <row r="127" spans="8:38" x14ac:dyDescent="0.3">
      <c r="H127" t="str">
        <v>2022-03-25T20:04:00.726Z</v>
      </c>
      <c r="I127" t="str">
        <v>BBG000BY29C7</v>
      </c>
      <c r="J127">
        <v>35035</v>
      </c>
      <c r="K127">
        <v>20220325</v>
      </c>
      <c r="L127" t="str">
        <v>TPR</v>
      </c>
      <c r="M127" t="str">
        <v>Tapestry Inc</v>
      </c>
      <c r="N127" t="str">
        <v>NYSE</v>
      </c>
      <c r="O127" t="str">
        <v>US8760301072</v>
      </c>
      <c r="P127">
        <v>37.909999999999997</v>
      </c>
      <c r="Q127">
        <v>21421</v>
      </c>
      <c r="R127">
        <v>38.6</v>
      </c>
      <c r="S127" t="str">
        <v>13:37:51.443663104</v>
      </c>
      <c r="T127">
        <v>37.76</v>
      </c>
      <c r="U127" t="str">
        <v>10:03:16.623623168</v>
      </c>
      <c r="V127">
        <v>38.450000000000003</v>
      </c>
      <c r="W127">
        <v>202531</v>
      </c>
      <c r="X127">
        <v>1841739</v>
      </c>
      <c r="Y127">
        <v>22480</v>
      </c>
      <c r="Z127">
        <v>1841823</v>
      </c>
      <c r="AA127">
        <v>22486</v>
      </c>
      <c r="AB127">
        <v>634053</v>
      </c>
      <c r="AC127">
        <v>5877</v>
      </c>
      <c r="AD127">
        <v>688207</v>
      </c>
      <c r="AE127">
        <v>5904</v>
      </c>
      <c r="AF127">
        <v>1.3902963189999999</v>
      </c>
      <c r="AG127">
        <v>1</v>
      </c>
      <c r="AH127" t="e">
        <v>#N/A</v>
      </c>
      <c r="AI127" t="str">
        <v>None</v>
      </c>
      <c r="AJ127">
        <v>38.31</v>
      </c>
      <c r="AK127">
        <v>38.31</v>
      </c>
      <c r="AL127">
        <v>1.6482150008425224E+18</v>
      </c>
    </row>
    <row r="128" spans="8:38" x14ac:dyDescent="0.3">
      <c r="H128" t="str">
        <v>2022-03-25T20:05:18.895Z</v>
      </c>
      <c r="I128" t="str">
        <v>BBG000BS7KS3</v>
      </c>
      <c r="J128">
        <v>32840</v>
      </c>
      <c r="K128">
        <v>20220325</v>
      </c>
      <c r="L128" t="str">
        <v>TAP</v>
      </c>
      <c r="M128" t="str">
        <v>Molson Coors Beverage Company</v>
      </c>
      <c r="N128" t="str">
        <v>NYSE</v>
      </c>
      <c r="O128" t="str">
        <v>US60871R2094</v>
      </c>
      <c r="P128">
        <v>53.01</v>
      </c>
      <c r="Q128">
        <v>7396</v>
      </c>
      <c r="R128">
        <v>53.99</v>
      </c>
      <c r="S128" t="str">
        <v>15:57:15.833554432</v>
      </c>
      <c r="T128">
        <v>52.94</v>
      </c>
      <c r="U128" t="str">
        <v>09:32:21.961443584</v>
      </c>
      <c r="V128">
        <v>53.96</v>
      </c>
      <c r="W128">
        <v>107452</v>
      </c>
      <c r="X128">
        <v>546611</v>
      </c>
      <c r="Y128">
        <v>9875</v>
      </c>
      <c r="Z128">
        <v>546742</v>
      </c>
      <c r="AA128">
        <v>9883</v>
      </c>
      <c r="AB128">
        <v>170695</v>
      </c>
      <c r="AC128">
        <v>3808</v>
      </c>
      <c r="AD128">
        <v>181002</v>
      </c>
      <c r="AE128">
        <v>3837</v>
      </c>
      <c r="AF128">
        <v>2.7951004842999998</v>
      </c>
      <c r="AG128">
        <v>2</v>
      </c>
      <c r="AH128" t="e">
        <v>#N/A</v>
      </c>
      <c r="AI128" t="str">
        <v>None</v>
      </c>
      <c r="AJ128">
        <v>53.71</v>
      </c>
      <c r="AK128">
        <v>53.71</v>
      </c>
      <c r="AL128">
        <v>1.648215001037366E+18</v>
      </c>
    </row>
    <row r="129" spans="8:38" x14ac:dyDescent="0.3">
      <c r="H129" t="str">
        <v>2022-03-28T20:03:55.967Z</v>
      </c>
      <c r="I129" t="str">
        <v>BBG000BS7KS3</v>
      </c>
      <c r="J129">
        <v>32840</v>
      </c>
      <c r="K129">
        <v>20220328</v>
      </c>
      <c r="L129" t="str">
        <v>TAP</v>
      </c>
      <c r="M129" t="str">
        <v>Molson Coors Beverage Company</v>
      </c>
      <c r="N129" t="str">
        <v>NYSE</v>
      </c>
      <c r="O129" t="str">
        <v>US60871R2094</v>
      </c>
      <c r="P129">
        <v>53.96</v>
      </c>
      <c r="Q129">
        <v>14186</v>
      </c>
      <c r="R129">
        <v>53.95</v>
      </c>
      <c r="S129" t="str">
        <v>09:31:01.889812224</v>
      </c>
      <c r="T129">
        <v>52.79</v>
      </c>
      <c r="U129" t="str">
        <v>10:02:37.389854976</v>
      </c>
      <c r="V129">
        <v>53.35</v>
      </c>
      <c r="W129">
        <v>120988</v>
      </c>
      <c r="X129">
        <v>583744</v>
      </c>
      <c r="Y129">
        <v>9475</v>
      </c>
      <c r="Z129">
        <v>584065</v>
      </c>
      <c r="AA129">
        <v>9483</v>
      </c>
      <c r="AB129">
        <v>245334</v>
      </c>
      <c r="AC129">
        <v>3631</v>
      </c>
      <c r="AD129">
        <v>266691</v>
      </c>
      <c r="AE129">
        <v>3664</v>
      </c>
      <c r="AF129">
        <v>2.7951004842999998</v>
      </c>
      <c r="AG129">
        <v>2</v>
      </c>
      <c r="AH129" t="e">
        <v>#N/A</v>
      </c>
      <c r="AI129" t="str">
        <v>None</v>
      </c>
      <c r="AJ129">
        <v>53.26</v>
      </c>
      <c r="AK129">
        <v>53.27</v>
      </c>
      <c r="AL129">
        <v>1.6484742010723052E+18</v>
      </c>
    </row>
    <row r="130" spans="8:38" x14ac:dyDescent="0.3">
      <c r="H130" t="str">
        <v>2022-03-28T20:03:59.678Z</v>
      </c>
      <c r="I130" t="str">
        <v>BBG000BY29C7</v>
      </c>
      <c r="J130">
        <v>35035</v>
      </c>
      <c r="K130">
        <v>20220328</v>
      </c>
      <c r="L130" t="str">
        <v>TPR</v>
      </c>
      <c r="M130" t="str">
        <v>Tapestry Inc</v>
      </c>
      <c r="N130" t="str">
        <v>NYSE</v>
      </c>
      <c r="O130" t="str">
        <v>US8760301072</v>
      </c>
      <c r="P130">
        <v>38.15</v>
      </c>
      <c r="Q130">
        <v>29903</v>
      </c>
      <c r="R130">
        <v>38.46</v>
      </c>
      <c r="S130" t="str">
        <v>15:49:35.979352576</v>
      </c>
      <c r="T130">
        <v>37.86</v>
      </c>
      <c r="U130" t="str">
        <v>09:46:07.064753408</v>
      </c>
      <c r="V130">
        <v>38.4</v>
      </c>
      <c r="W130">
        <v>230624</v>
      </c>
      <c r="X130">
        <v>1687373</v>
      </c>
      <c r="Y130">
        <v>18956</v>
      </c>
      <c r="Z130">
        <v>1687544</v>
      </c>
      <c r="AA130">
        <v>18962</v>
      </c>
      <c r="AB130">
        <v>534174</v>
      </c>
      <c r="AC130">
        <v>5378</v>
      </c>
      <c r="AD130">
        <v>590860</v>
      </c>
      <c r="AE130">
        <v>5412</v>
      </c>
      <c r="AF130">
        <v>1.3902963189999999</v>
      </c>
      <c r="AG130">
        <v>1</v>
      </c>
      <c r="AH130" t="e">
        <v>#N/A</v>
      </c>
      <c r="AI130" t="str">
        <v>None</v>
      </c>
      <c r="AJ130">
        <v>38.22</v>
      </c>
      <c r="AK130">
        <v>38.22</v>
      </c>
      <c r="AL130">
        <v>1.6484742008424535E+18</v>
      </c>
    </row>
    <row r="131" spans="8:38" x14ac:dyDescent="0.3">
      <c r="H131" t="str">
        <v>2022-03-29T20:03:25.470Z</v>
      </c>
      <c r="I131" t="str">
        <v>BBG000BS7KS3</v>
      </c>
      <c r="J131">
        <v>32840</v>
      </c>
      <c r="K131">
        <v>20220329</v>
      </c>
      <c r="L131" t="str">
        <v>TAP</v>
      </c>
      <c r="M131" t="str">
        <v>Molson Coors Beverage Company</v>
      </c>
      <c r="N131" t="str">
        <v>NYSE</v>
      </c>
      <c r="O131" t="str">
        <v>US60871R2094</v>
      </c>
      <c r="P131">
        <v>53.87</v>
      </c>
      <c r="Q131">
        <v>18719</v>
      </c>
      <c r="R131">
        <v>54.66</v>
      </c>
      <c r="S131" t="str">
        <v>09:41:52.834032128</v>
      </c>
      <c r="T131">
        <v>53.2</v>
      </c>
      <c r="U131" t="str">
        <v>12:52:43.593149696</v>
      </c>
      <c r="V131">
        <v>54.07</v>
      </c>
      <c r="W131">
        <v>144507</v>
      </c>
      <c r="X131">
        <v>678523</v>
      </c>
      <c r="Y131">
        <v>12263</v>
      </c>
      <c r="Z131">
        <v>678980</v>
      </c>
      <c r="AA131">
        <v>12274</v>
      </c>
      <c r="AB131">
        <v>197022</v>
      </c>
      <c r="AC131">
        <v>3457</v>
      </c>
      <c r="AD131">
        <v>227652</v>
      </c>
      <c r="AE131">
        <v>3515</v>
      </c>
      <c r="AF131">
        <v>2.7951004842999998</v>
      </c>
      <c r="AG131">
        <v>2</v>
      </c>
      <c r="AH131" t="e">
        <v>#N/A</v>
      </c>
      <c r="AI131" t="str">
        <v>None</v>
      </c>
      <c r="AJ131">
        <v>53.88</v>
      </c>
      <c r="AK131">
        <v>53.89</v>
      </c>
      <c r="AL131">
        <v>1.6485606010301563E+18</v>
      </c>
    </row>
    <row r="132" spans="8:38" x14ac:dyDescent="0.3">
      <c r="H132" t="str">
        <v>2022-03-29T20:03:29.585Z</v>
      </c>
      <c r="I132" t="str">
        <v>BBG000BY29C7</v>
      </c>
      <c r="J132">
        <v>35035</v>
      </c>
      <c r="K132">
        <v>20220329</v>
      </c>
      <c r="L132" t="str">
        <v>TPR</v>
      </c>
      <c r="M132" t="str">
        <v>Tapestry Inc</v>
      </c>
      <c r="N132" t="str">
        <v>NYSE</v>
      </c>
      <c r="O132" t="str">
        <v>US8760301072</v>
      </c>
      <c r="P132">
        <v>39.42</v>
      </c>
      <c r="Q132">
        <v>27264</v>
      </c>
      <c r="R132">
        <v>40.35</v>
      </c>
      <c r="S132" t="str">
        <v>14:56:47.451295744</v>
      </c>
      <c r="T132">
        <v>39.340000000000003</v>
      </c>
      <c r="U132" t="str">
        <v>09:30:01.416698112</v>
      </c>
      <c r="V132">
        <v>40.159999999999997</v>
      </c>
      <c r="W132">
        <v>199813</v>
      </c>
      <c r="X132">
        <v>2165572</v>
      </c>
      <c r="Y132">
        <v>27786</v>
      </c>
      <c r="Z132">
        <v>2169096</v>
      </c>
      <c r="AA132">
        <v>27867</v>
      </c>
      <c r="AB132">
        <v>804958</v>
      </c>
      <c r="AC132">
        <v>6350</v>
      </c>
      <c r="AD132">
        <v>859324</v>
      </c>
      <c r="AE132">
        <v>6388</v>
      </c>
      <c r="AF132">
        <v>1.3902963189999999</v>
      </c>
      <c r="AG132">
        <v>1</v>
      </c>
      <c r="AH132" t="e">
        <v>#N/A</v>
      </c>
      <c r="AI132" t="str">
        <v>None</v>
      </c>
      <c r="AJ132">
        <v>39.99</v>
      </c>
      <c r="AK132">
        <v>40</v>
      </c>
      <c r="AL132">
        <v>1.6485606009201144E+18</v>
      </c>
    </row>
    <row r="133" spans="8:38" x14ac:dyDescent="0.3">
      <c r="H133" t="str">
        <v>2022-03-30T20:03:43.503Z</v>
      </c>
      <c r="I133" t="str">
        <v>BBG000BY29C7</v>
      </c>
      <c r="J133">
        <v>35035</v>
      </c>
      <c r="K133">
        <v>20220330</v>
      </c>
      <c r="L133" t="str">
        <v>TPR</v>
      </c>
      <c r="M133" t="str">
        <v>Tapestry Inc</v>
      </c>
      <c r="N133" t="str">
        <v>NYSE</v>
      </c>
      <c r="O133" t="str">
        <v>US8760301072</v>
      </c>
      <c r="P133">
        <v>39.840000000000003</v>
      </c>
      <c r="Q133">
        <v>34794</v>
      </c>
      <c r="R133">
        <v>40.08</v>
      </c>
      <c r="S133" t="str">
        <v>10:04:32.388349696</v>
      </c>
      <c r="T133">
        <v>38.97</v>
      </c>
      <c r="U133" t="str">
        <v>15:54:22.391447296</v>
      </c>
      <c r="V133">
        <v>39.17</v>
      </c>
      <c r="W133">
        <v>285245</v>
      </c>
      <c r="X133">
        <v>2256473</v>
      </c>
      <c r="Y133">
        <v>24752</v>
      </c>
      <c r="Z133">
        <v>2258808</v>
      </c>
      <c r="AA133">
        <v>24790</v>
      </c>
      <c r="AB133">
        <v>723560</v>
      </c>
      <c r="AC133">
        <v>5995</v>
      </c>
      <c r="AD133">
        <v>830248</v>
      </c>
      <c r="AE133">
        <v>6032</v>
      </c>
      <c r="AF133">
        <v>1.3902963189999999</v>
      </c>
      <c r="AG133">
        <v>1</v>
      </c>
      <c r="AH133" t="e">
        <v>#N/A</v>
      </c>
      <c r="AI133" t="str">
        <v>None</v>
      </c>
      <c r="AJ133">
        <v>39.44</v>
      </c>
      <c r="AK133">
        <v>39.43</v>
      </c>
      <c r="AL133">
        <v>1.6486470008638802E+18</v>
      </c>
    </row>
    <row r="134" spans="8:38" x14ac:dyDescent="0.3">
      <c r="H134" t="str">
        <v>2022-03-30T20:03:48.368Z</v>
      </c>
      <c r="I134" t="str">
        <v>BBG000BS7KS3</v>
      </c>
      <c r="J134">
        <v>32840</v>
      </c>
      <c r="K134">
        <v>20220330</v>
      </c>
      <c r="L134" t="str">
        <v>TAP</v>
      </c>
      <c r="M134" t="str">
        <v>Molson Coors Beverage Company</v>
      </c>
      <c r="N134" t="str">
        <v>NYSE</v>
      </c>
      <c r="O134" t="str">
        <v>US60871R2094</v>
      </c>
      <c r="P134">
        <v>53.95</v>
      </c>
      <c r="Q134">
        <v>9649</v>
      </c>
      <c r="R134">
        <v>54.31</v>
      </c>
      <c r="S134" t="str">
        <v>15:20:37.480642560</v>
      </c>
      <c r="T134">
        <v>53.87</v>
      </c>
      <c r="U134" t="str">
        <v>09:46:28.506415360</v>
      </c>
      <c r="V134">
        <v>54.3</v>
      </c>
      <c r="W134">
        <v>109874</v>
      </c>
      <c r="X134">
        <v>581484</v>
      </c>
      <c r="Y134">
        <v>10836</v>
      </c>
      <c r="Z134">
        <v>581730</v>
      </c>
      <c r="AA134">
        <v>10847</v>
      </c>
      <c r="AB134">
        <v>250821</v>
      </c>
      <c r="AC134">
        <v>4228</v>
      </c>
      <c r="AD134">
        <v>279156</v>
      </c>
      <c r="AE134">
        <v>4266</v>
      </c>
      <c r="AF134">
        <v>2.7951004842999998</v>
      </c>
      <c r="AG134">
        <v>2</v>
      </c>
      <c r="AH134" t="e">
        <v>#N/A</v>
      </c>
      <c r="AI134" t="str">
        <v>None</v>
      </c>
      <c r="AJ134">
        <v>54.15</v>
      </c>
      <c r="AK134">
        <v>54.15</v>
      </c>
      <c r="AL134">
        <v>1.6486470010467305E+18</v>
      </c>
    </row>
    <row r="135" spans="8:38" x14ac:dyDescent="0.3">
      <c r="H135" t="str">
        <v>2022-03-31T20:03:40.632Z</v>
      </c>
      <c r="I135" t="str">
        <v>BBG000BS7KS3</v>
      </c>
      <c r="J135">
        <v>32840</v>
      </c>
      <c r="K135">
        <v>20220331</v>
      </c>
      <c r="L135" t="str">
        <v>TAP</v>
      </c>
      <c r="M135" t="str">
        <v>Molson Coors Beverage Company</v>
      </c>
      <c r="N135" t="str">
        <v>NYSE</v>
      </c>
      <c r="O135" t="str">
        <v>US60871R2094</v>
      </c>
      <c r="P135">
        <v>53.94</v>
      </c>
      <c r="Q135">
        <v>11836</v>
      </c>
      <c r="R135">
        <v>54.47</v>
      </c>
      <c r="S135" t="str">
        <v>09:47:38.376787968</v>
      </c>
      <c r="T135">
        <v>53.36</v>
      </c>
      <c r="U135" t="str">
        <v>15:59:57.987337216</v>
      </c>
      <c r="V135">
        <v>53.38</v>
      </c>
      <c r="W135">
        <v>335106</v>
      </c>
      <c r="X135">
        <v>848764</v>
      </c>
      <c r="Y135">
        <v>9699</v>
      </c>
      <c r="Z135">
        <v>849035</v>
      </c>
      <c r="AA135">
        <v>9714</v>
      </c>
      <c r="AB135">
        <v>223811</v>
      </c>
      <c r="AC135">
        <v>3534</v>
      </c>
      <c r="AD135">
        <v>312535</v>
      </c>
      <c r="AE135">
        <v>3579</v>
      </c>
      <c r="AF135">
        <v>2.7951004842999998</v>
      </c>
      <c r="AG135">
        <v>2</v>
      </c>
      <c r="AH135" t="e">
        <v>#N/A</v>
      </c>
      <c r="AI135" t="str">
        <v>None</v>
      </c>
      <c r="AJ135">
        <v>53.6</v>
      </c>
      <c r="AK135">
        <v>53.58</v>
      </c>
      <c r="AL135">
        <v>1.6487334010226237E+18</v>
      </c>
    </row>
    <row r="136" spans="8:38" x14ac:dyDescent="0.3">
      <c r="H136" t="str">
        <v>2022-03-31T20:03:43.843Z</v>
      </c>
      <c r="I136" t="str">
        <v>BBG000BY29C7</v>
      </c>
      <c r="J136">
        <v>35035</v>
      </c>
      <c r="K136">
        <v>20220331</v>
      </c>
      <c r="L136" t="str">
        <v>TPR</v>
      </c>
      <c r="M136" t="str">
        <v>Tapestry Inc</v>
      </c>
      <c r="N136" t="str">
        <v>NYSE</v>
      </c>
      <c r="O136" t="str">
        <v>US8760301072</v>
      </c>
      <c r="P136">
        <v>38.76</v>
      </c>
      <c r="Q136">
        <v>28049</v>
      </c>
      <c r="R136">
        <v>38.92</v>
      </c>
      <c r="S136" t="str">
        <v>09:30:16.407352064</v>
      </c>
      <c r="T136">
        <v>36.99</v>
      </c>
      <c r="U136" t="str">
        <v>15:57:40.582057472</v>
      </c>
      <c r="V136">
        <v>37.15</v>
      </c>
      <c r="W136">
        <v>582614</v>
      </c>
      <c r="X136">
        <v>3301231</v>
      </c>
      <c r="Y136">
        <v>30888</v>
      </c>
      <c r="Z136">
        <v>3301335</v>
      </c>
      <c r="AA136">
        <v>30896</v>
      </c>
      <c r="AB136">
        <v>827935</v>
      </c>
      <c r="AC136">
        <v>7648</v>
      </c>
      <c r="AD136">
        <v>965874</v>
      </c>
      <c r="AE136">
        <v>7703</v>
      </c>
      <c r="AF136">
        <v>1.3902963189999999</v>
      </c>
      <c r="AG136">
        <v>1</v>
      </c>
      <c r="AH136" t="e">
        <v>#N/A</v>
      </c>
      <c r="AI136" t="str">
        <v>None</v>
      </c>
      <c r="AJ136">
        <v>37.69</v>
      </c>
      <c r="AK136">
        <v>37.67</v>
      </c>
      <c r="AL136">
        <v>1.6487334009747259E+18</v>
      </c>
    </row>
    <row r="137" spans="8:38" x14ac:dyDescent="0.3">
      <c r="H137" t="str">
        <v>2022-04-01T20:04:17.582Z</v>
      </c>
      <c r="I137" t="str">
        <v>BBG000BY29C7</v>
      </c>
      <c r="J137">
        <v>35035</v>
      </c>
      <c r="K137">
        <v>20220401</v>
      </c>
      <c r="L137" t="str">
        <v>TPR</v>
      </c>
      <c r="M137" t="str">
        <v>Tapestry Inc</v>
      </c>
      <c r="N137" t="str">
        <v>NYSE</v>
      </c>
      <c r="O137" t="str">
        <v>US8760301072</v>
      </c>
      <c r="P137">
        <v>37.32</v>
      </c>
      <c r="Q137">
        <v>27273</v>
      </c>
      <c r="R137">
        <v>37.43</v>
      </c>
      <c r="S137" t="str">
        <v>09:33:46.196789248</v>
      </c>
      <c r="T137">
        <v>35.82</v>
      </c>
      <c r="U137" t="str">
        <v>15:21:02.531443968</v>
      </c>
      <c r="V137">
        <v>36.11</v>
      </c>
      <c r="W137">
        <v>281101</v>
      </c>
      <c r="X137">
        <v>2497003</v>
      </c>
      <c r="Y137">
        <v>26929</v>
      </c>
      <c r="Z137">
        <v>2498122</v>
      </c>
      <c r="AA137">
        <v>26955</v>
      </c>
      <c r="AB137">
        <v>833913</v>
      </c>
      <c r="AC137">
        <v>7541</v>
      </c>
      <c r="AD137">
        <v>914381</v>
      </c>
      <c r="AE137">
        <v>7593</v>
      </c>
      <c r="AF137">
        <v>1.3902963189999999</v>
      </c>
      <c r="AG137">
        <v>1</v>
      </c>
      <c r="AH137" t="e">
        <v>#N/A</v>
      </c>
      <c r="AI137" t="str">
        <v>None</v>
      </c>
      <c r="AJ137">
        <v>36.200000000000003</v>
      </c>
      <c r="AK137">
        <v>36.200000000000003</v>
      </c>
      <c r="AL137">
        <v>1.6488205856927309E+18</v>
      </c>
    </row>
    <row r="138" spans="8:38" x14ac:dyDescent="0.3">
      <c r="H138" t="str">
        <v>2022-04-01T20:04:21.522Z</v>
      </c>
      <c r="I138" t="str">
        <v>BBG000BS7KS3</v>
      </c>
      <c r="J138">
        <v>32840</v>
      </c>
      <c r="K138">
        <v>20220401</v>
      </c>
      <c r="L138" t="str">
        <v>TAP</v>
      </c>
      <c r="M138" t="str">
        <v>Molson Coors Beverage Company</v>
      </c>
      <c r="N138" t="str">
        <v>NYSE</v>
      </c>
      <c r="O138" t="str">
        <v>US60871R2094</v>
      </c>
      <c r="P138">
        <v>53.39</v>
      </c>
      <c r="Q138">
        <v>21289</v>
      </c>
      <c r="R138">
        <v>53.55</v>
      </c>
      <c r="S138" t="str">
        <v>09:36:38.084590848</v>
      </c>
      <c r="T138">
        <v>51.52</v>
      </c>
      <c r="U138" t="str">
        <v>12:38:31.094189056</v>
      </c>
      <c r="V138">
        <v>52.42</v>
      </c>
      <c r="W138">
        <v>170037</v>
      </c>
      <c r="X138">
        <v>847108</v>
      </c>
      <c r="Y138">
        <v>13426</v>
      </c>
      <c r="Z138">
        <v>847181</v>
      </c>
      <c r="AA138">
        <v>13439</v>
      </c>
      <c r="AB138">
        <v>293127</v>
      </c>
      <c r="AC138">
        <v>4494</v>
      </c>
      <c r="AD138">
        <v>343086</v>
      </c>
      <c r="AE138">
        <v>4541</v>
      </c>
      <c r="AF138">
        <v>2.7951004842999998</v>
      </c>
      <c r="AG138">
        <v>2</v>
      </c>
      <c r="AH138" t="e">
        <v>#N/A</v>
      </c>
      <c r="AI138" t="str">
        <v>None</v>
      </c>
      <c r="AJ138">
        <v>52.18</v>
      </c>
      <c r="AK138">
        <v>52.21</v>
      </c>
      <c r="AL138">
        <v>1.6488201980079962E+18</v>
      </c>
    </row>
    <row r="139" spans="8:38" x14ac:dyDescent="0.3">
      <c r="H139" t="str">
        <v>2022-04-04T20:03:28.319Z</v>
      </c>
      <c r="I139" t="str">
        <v>BBG000BS7KS3</v>
      </c>
      <c r="J139">
        <v>32840</v>
      </c>
      <c r="K139">
        <v>20220404</v>
      </c>
      <c r="L139" t="str">
        <v>TAP</v>
      </c>
      <c r="M139" t="str">
        <v>Molson Coors Beverage Company</v>
      </c>
      <c r="N139" t="str">
        <v>NYSE</v>
      </c>
      <c r="O139" t="str">
        <v>US60871R2094</v>
      </c>
      <c r="P139">
        <v>52.25</v>
      </c>
      <c r="Q139">
        <v>14413</v>
      </c>
      <c r="R139">
        <v>52.38</v>
      </c>
      <c r="S139" t="str">
        <v>09:30:39.620041728</v>
      </c>
      <c r="T139">
        <v>50.75</v>
      </c>
      <c r="U139" t="str">
        <v>09:39:50.993524480</v>
      </c>
      <c r="V139">
        <v>52.07</v>
      </c>
      <c r="W139">
        <v>199744</v>
      </c>
      <c r="X139">
        <v>972667</v>
      </c>
      <c r="Y139">
        <v>13966</v>
      </c>
      <c r="Z139">
        <v>972675</v>
      </c>
      <c r="AA139">
        <v>13969</v>
      </c>
      <c r="AB139">
        <v>260619</v>
      </c>
      <c r="AC139">
        <v>4383</v>
      </c>
      <c r="AD139">
        <v>395733</v>
      </c>
      <c r="AE139">
        <v>4439</v>
      </c>
      <c r="AF139">
        <v>2.7951004842999998</v>
      </c>
      <c r="AG139">
        <v>2</v>
      </c>
      <c r="AH139" t="e">
        <v>#N/A</v>
      </c>
      <c r="AI139" t="str">
        <v>None</v>
      </c>
      <c r="AJ139">
        <v>51.86</v>
      </c>
      <c r="AK139">
        <v>51.88</v>
      </c>
      <c r="AL139">
        <v>1.6490790010273684E+18</v>
      </c>
    </row>
    <row r="140" spans="8:38" x14ac:dyDescent="0.3">
      <c r="H140" t="str">
        <v>2022-04-04T20:03:35.454Z</v>
      </c>
      <c r="I140" t="str">
        <v>BBG000BY29C7</v>
      </c>
      <c r="J140">
        <v>35035</v>
      </c>
      <c r="K140">
        <v>20220404</v>
      </c>
      <c r="L140" t="str">
        <v>TPR</v>
      </c>
      <c r="M140" t="str">
        <v>Tapestry Inc</v>
      </c>
      <c r="N140" t="str">
        <v>NYSE</v>
      </c>
      <c r="O140" t="str">
        <v>US8760301072</v>
      </c>
      <c r="P140">
        <v>35.99</v>
      </c>
      <c r="Q140">
        <v>25977</v>
      </c>
      <c r="R140">
        <v>36.58</v>
      </c>
      <c r="S140" t="str">
        <v>12:14:56.150602240</v>
      </c>
      <c r="T140">
        <v>35.6</v>
      </c>
      <c r="U140" t="str">
        <v>09:35:03.685249280</v>
      </c>
      <c r="V140">
        <v>36.21</v>
      </c>
      <c r="W140">
        <v>529008</v>
      </c>
      <c r="X140">
        <v>2297468</v>
      </c>
      <c r="Y140">
        <v>21136</v>
      </c>
      <c r="Z140">
        <v>2301010</v>
      </c>
      <c r="AA140">
        <v>21240</v>
      </c>
      <c r="AB140">
        <v>794201</v>
      </c>
      <c r="AC140">
        <v>7116</v>
      </c>
      <c r="AD140">
        <v>950685</v>
      </c>
      <c r="AE140">
        <v>7154</v>
      </c>
      <c r="AF140">
        <v>1.3902963189999999</v>
      </c>
      <c r="AG140">
        <v>1</v>
      </c>
      <c r="AH140" t="e">
        <v>#N/A</v>
      </c>
      <c r="AI140" t="str">
        <v>None</v>
      </c>
      <c r="AJ140">
        <v>36.28</v>
      </c>
      <c r="AK140">
        <v>36.28</v>
      </c>
      <c r="AL140">
        <v>1.6490790009908767E+18</v>
      </c>
    </row>
    <row r="141" spans="8:38" x14ac:dyDescent="0.3">
      <c r="H141" t="str">
        <v>2022-04-05T20:04:24.806Z</v>
      </c>
      <c r="I141" t="str">
        <v>BBG000BS7KS3</v>
      </c>
      <c r="J141">
        <v>32840</v>
      </c>
      <c r="K141">
        <v>20220405</v>
      </c>
      <c r="L141" t="str">
        <v>TAP</v>
      </c>
      <c r="M141" t="str">
        <v>Molson Coors Beverage Company</v>
      </c>
      <c r="N141" t="str">
        <v>NYSE</v>
      </c>
      <c r="O141" t="str">
        <v>US60871R2094</v>
      </c>
      <c r="P141">
        <v>51.69</v>
      </c>
      <c r="Q141">
        <v>19504</v>
      </c>
      <c r="R141">
        <v>52.4</v>
      </c>
      <c r="S141" t="str">
        <v>09:42:45.791354112</v>
      </c>
      <c r="T141">
        <v>51.29</v>
      </c>
      <c r="U141" t="str">
        <v>15:51:18.207646976</v>
      </c>
      <c r="V141">
        <v>51.39</v>
      </c>
      <c r="W141">
        <v>498289</v>
      </c>
      <c r="X141">
        <v>1021636</v>
      </c>
      <c r="Y141">
        <v>10711</v>
      </c>
      <c r="Z141">
        <v>1021796</v>
      </c>
      <c r="AA141">
        <v>10716</v>
      </c>
      <c r="AB141">
        <v>240949</v>
      </c>
      <c r="AC141">
        <v>3661</v>
      </c>
      <c r="AD141">
        <v>271172</v>
      </c>
      <c r="AE141">
        <v>3710</v>
      </c>
      <c r="AF141">
        <v>2.7951004842999998</v>
      </c>
      <c r="AG141">
        <v>2</v>
      </c>
      <c r="AH141" t="e">
        <v>#N/A</v>
      </c>
      <c r="AI141" t="str">
        <v>None</v>
      </c>
      <c r="AJ141">
        <v>51.58</v>
      </c>
      <c r="AK141">
        <v>51.57</v>
      </c>
      <c r="AL141">
        <v>1.6491654009770568E+18</v>
      </c>
    </row>
    <row r="142" spans="8:38" x14ac:dyDescent="0.3">
      <c r="H142" t="str">
        <v>2022-04-05T20:04:28.860Z</v>
      </c>
      <c r="I142" t="str">
        <v>BBG000BY29C7</v>
      </c>
      <c r="J142">
        <v>35035</v>
      </c>
      <c r="K142">
        <v>20220405</v>
      </c>
      <c r="L142" t="str">
        <v>TPR</v>
      </c>
      <c r="M142" t="str">
        <v>Tapestry Inc</v>
      </c>
      <c r="N142" t="str">
        <v>NYSE</v>
      </c>
      <c r="O142" t="str">
        <v>US8760301072</v>
      </c>
      <c r="P142">
        <v>35.659999999999997</v>
      </c>
      <c r="Q142">
        <v>32765</v>
      </c>
      <c r="R142">
        <v>35.92</v>
      </c>
      <c r="S142" t="str">
        <v>09:35:28.351480064</v>
      </c>
      <c r="T142">
        <v>34.35</v>
      </c>
      <c r="U142" t="str">
        <v>15:50:01.766406912</v>
      </c>
      <c r="V142">
        <v>34.46</v>
      </c>
      <c r="W142">
        <v>347457</v>
      </c>
      <c r="X142">
        <v>2539229</v>
      </c>
      <c r="Y142">
        <v>28969</v>
      </c>
      <c r="Z142">
        <v>2540914</v>
      </c>
      <c r="AA142">
        <v>29001</v>
      </c>
      <c r="AB142">
        <v>974152</v>
      </c>
      <c r="AC142">
        <v>7777</v>
      </c>
      <c r="AD142">
        <v>1209265</v>
      </c>
      <c r="AE142">
        <v>7809</v>
      </c>
      <c r="AF142">
        <v>1.3902963189999999</v>
      </c>
      <c r="AG142">
        <v>1</v>
      </c>
      <c r="AH142" t="e">
        <v>#N/A</v>
      </c>
      <c r="AI142" t="str">
        <v>None</v>
      </c>
      <c r="AJ142">
        <v>34.659999999999997</v>
      </c>
      <c r="AK142">
        <v>34.65</v>
      </c>
      <c r="AL142">
        <v>1.6491654008415145E+18</v>
      </c>
    </row>
    <row r="143" spans="8:38" x14ac:dyDescent="0.3">
      <c r="H143" t="str">
        <v>2022-04-06T20:03:46.832Z</v>
      </c>
      <c r="I143" t="str">
        <v>BBG000BS7KS3</v>
      </c>
      <c r="J143">
        <v>32840</v>
      </c>
      <c r="K143">
        <v>20220406</v>
      </c>
      <c r="L143" t="str">
        <v>TAP</v>
      </c>
      <c r="M143" t="str">
        <v>Molson Coors Beverage Company</v>
      </c>
      <c r="N143" t="str">
        <v>NYSE</v>
      </c>
      <c r="O143" t="str">
        <v>US60871R2094</v>
      </c>
      <c r="P143">
        <v>51.3</v>
      </c>
      <c r="Q143">
        <v>15775</v>
      </c>
      <c r="R143">
        <v>51.66</v>
      </c>
      <c r="S143" t="str">
        <v>09:30:24.560255488</v>
      </c>
      <c r="T143">
        <v>50.52</v>
      </c>
      <c r="U143" t="str">
        <v>15:34:24.035978496</v>
      </c>
      <c r="V143">
        <v>50.76</v>
      </c>
      <c r="W143">
        <v>208780</v>
      </c>
      <c r="X143">
        <v>940977</v>
      </c>
      <c r="Y143">
        <v>14795</v>
      </c>
      <c r="Z143">
        <v>941431</v>
      </c>
      <c r="AA143">
        <v>14806</v>
      </c>
      <c r="AB143">
        <v>399521</v>
      </c>
      <c r="AC143">
        <v>4855</v>
      </c>
      <c r="AD143">
        <v>429067</v>
      </c>
      <c r="AE143">
        <v>4893</v>
      </c>
      <c r="AF143">
        <v>2.7951004842999998</v>
      </c>
      <c r="AG143">
        <v>2</v>
      </c>
      <c r="AH143" t="e">
        <v>#N/A</v>
      </c>
      <c r="AI143" t="str">
        <v>None</v>
      </c>
      <c r="AJ143">
        <v>50.9</v>
      </c>
      <c r="AK143">
        <v>50.9</v>
      </c>
      <c r="AL143">
        <v>1.6492518011513536E+18</v>
      </c>
    </row>
    <row r="144" spans="8:38" x14ac:dyDescent="0.3">
      <c r="H144" t="str">
        <v>2022-04-06T20:03:50.617Z</v>
      </c>
      <c r="I144" t="str">
        <v>BBG000BY29C7</v>
      </c>
      <c r="J144">
        <v>35035</v>
      </c>
      <c r="K144">
        <v>20220406</v>
      </c>
      <c r="L144" t="str">
        <v>TPR</v>
      </c>
      <c r="M144" t="str">
        <v>Tapestry Inc</v>
      </c>
      <c r="N144" t="str">
        <v>NYSE</v>
      </c>
      <c r="O144" t="str">
        <v>US8760301072</v>
      </c>
      <c r="P144">
        <v>34.07</v>
      </c>
      <c r="Q144">
        <v>87872</v>
      </c>
      <c r="R144">
        <v>34.24</v>
      </c>
      <c r="S144" t="str">
        <v>09:32:19.591550976</v>
      </c>
      <c r="T144">
        <v>32.979999999999997</v>
      </c>
      <c r="U144" t="str">
        <v>10:13:17.565294848</v>
      </c>
      <c r="V144">
        <v>33.590000000000003</v>
      </c>
      <c r="W144">
        <v>662693</v>
      </c>
      <c r="X144">
        <v>3133660</v>
      </c>
      <c r="Y144">
        <v>32403</v>
      </c>
      <c r="Z144">
        <v>3138142</v>
      </c>
      <c r="AA144">
        <v>32452</v>
      </c>
      <c r="AB144">
        <v>1111672</v>
      </c>
      <c r="AC144">
        <v>8218</v>
      </c>
      <c r="AD144">
        <v>1465584</v>
      </c>
      <c r="AE144">
        <v>8266</v>
      </c>
      <c r="AF144">
        <v>1.3902963189999999</v>
      </c>
      <c r="AG144">
        <v>1</v>
      </c>
      <c r="AH144" t="e">
        <v>#N/A</v>
      </c>
      <c r="AI144" t="str">
        <v>None</v>
      </c>
      <c r="AJ144">
        <v>33.659999999999997</v>
      </c>
      <c r="AK144">
        <v>33.659999999999997</v>
      </c>
      <c r="AL144">
        <v>1.6492518098101238E+18</v>
      </c>
    </row>
    <row r="145" spans="8:38" x14ac:dyDescent="0.3">
      <c r="H145" t="str">
        <v>2022-04-07T20:04:07.229Z</v>
      </c>
      <c r="I145" t="str">
        <v>BBG000BS7KS3</v>
      </c>
      <c r="J145">
        <v>32840</v>
      </c>
      <c r="K145">
        <v>20220407</v>
      </c>
      <c r="L145" t="str">
        <v>TAP</v>
      </c>
      <c r="M145" t="str">
        <v>Molson Coors Beverage Company</v>
      </c>
      <c r="N145" t="str">
        <v>NYSE</v>
      </c>
      <c r="O145" t="str">
        <v>US60871R2094</v>
      </c>
      <c r="P145">
        <v>50.66</v>
      </c>
      <c r="Q145">
        <v>11478</v>
      </c>
      <c r="R145">
        <v>50.88</v>
      </c>
      <c r="S145" t="str">
        <v>15:02:06.092845312</v>
      </c>
      <c r="T145">
        <v>49.8</v>
      </c>
      <c r="U145" t="str">
        <v>10:02:17.113586176</v>
      </c>
      <c r="V145">
        <v>50.49</v>
      </c>
      <c r="W145">
        <v>269723</v>
      </c>
      <c r="X145">
        <v>1032932</v>
      </c>
      <c r="Y145">
        <v>15151</v>
      </c>
      <c r="Z145">
        <v>1033041</v>
      </c>
      <c r="AA145">
        <v>15158</v>
      </c>
      <c r="AB145">
        <v>445195</v>
      </c>
      <c r="AC145">
        <v>4729</v>
      </c>
      <c r="AD145">
        <v>484671</v>
      </c>
      <c r="AE145">
        <v>4772</v>
      </c>
      <c r="AF145">
        <v>2.7951004842999998</v>
      </c>
      <c r="AG145">
        <v>2</v>
      </c>
      <c r="AH145" t="e">
        <v>#N/A</v>
      </c>
      <c r="AI145" t="str">
        <v>None</v>
      </c>
      <c r="AJ145">
        <v>50.42</v>
      </c>
      <c r="AK145">
        <v>50.42</v>
      </c>
      <c r="AL145">
        <v>1.6493382011492273E+18</v>
      </c>
    </row>
    <row r="146" spans="8:38" x14ac:dyDescent="0.3">
      <c r="H146" t="str">
        <v>2022-04-07T20:04:11.003Z</v>
      </c>
      <c r="I146" t="str">
        <v>BBG000BY29C7</v>
      </c>
      <c r="J146">
        <v>35035</v>
      </c>
      <c r="K146">
        <v>20220407</v>
      </c>
      <c r="L146" t="str">
        <v>TPR</v>
      </c>
      <c r="M146" t="str">
        <v>Tapestry Inc</v>
      </c>
      <c r="N146" t="str">
        <v>NYSE</v>
      </c>
      <c r="O146" t="str">
        <v>US8760301072</v>
      </c>
      <c r="P146">
        <v>33.53</v>
      </c>
      <c r="Q146">
        <v>27401</v>
      </c>
      <c r="R146">
        <v>33.79</v>
      </c>
      <c r="S146" t="str">
        <v>09:30:59.683801344</v>
      </c>
      <c r="T146">
        <v>32.31</v>
      </c>
      <c r="U146" t="str">
        <v>12:49:41.965280256</v>
      </c>
      <c r="V146">
        <v>33.299999999999997</v>
      </c>
      <c r="W146">
        <v>638831</v>
      </c>
      <c r="X146">
        <v>2640604</v>
      </c>
      <c r="Y146">
        <v>28570</v>
      </c>
      <c r="Z146">
        <v>2642301</v>
      </c>
      <c r="AA146">
        <v>28617</v>
      </c>
      <c r="AB146">
        <v>1182683</v>
      </c>
      <c r="AC146">
        <v>7784</v>
      </c>
      <c r="AD146">
        <v>1496850</v>
      </c>
      <c r="AE146">
        <v>7825</v>
      </c>
      <c r="AF146">
        <v>1.3902963189999999</v>
      </c>
      <c r="AG146">
        <v>1</v>
      </c>
      <c r="AH146" t="e">
        <v>#N/A</v>
      </c>
      <c r="AI146" t="str">
        <v>None</v>
      </c>
      <c r="AJ146">
        <v>33.1</v>
      </c>
      <c r="AK146">
        <v>33.119999999999997</v>
      </c>
      <c r="AL146">
        <v>1.6493382008164006E+18</v>
      </c>
    </row>
    <row r="147" spans="8:38" x14ac:dyDescent="0.3">
      <c r="H147" t="str">
        <v>2022-04-08T20:03:16.394Z</v>
      </c>
      <c r="I147" t="str">
        <v>BBG000BS7KS3</v>
      </c>
      <c r="J147">
        <v>32840</v>
      </c>
      <c r="K147">
        <v>20220408</v>
      </c>
      <c r="L147" t="str">
        <v>TAP</v>
      </c>
      <c r="M147" t="str">
        <v>Molson Coors Beverage Company</v>
      </c>
      <c r="N147" t="str">
        <v>NYSE</v>
      </c>
      <c r="O147" t="str">
        <v>US60871R2094</v>
      </c>
      <c r="P147">
        <v>50.93</v>
      </c>
      <c r="Q147">
        <v>14135</v>
      </c>
      <c r="R147">
        <v>51.7</v>
      </c>
      <c r="S147" t="str">
        <v>11:14:04.363281664</v>
      </c>
      <c r="T147">
        <v>50.59</v>
      </c>
      <c r="U147" t="str">
        <v>09:46:07.004218112</v>
      </c>
      <c r="V147">
        <v>51.56</v>
      </c>
      <c r="W147">
        <v>194658</v>
      </c>
      <c r="X147">
        <v>816713</v>
      </c>
      <c r="Y147">
        <v>11902</v>
      </c>
      <c r="Z147">
        <v>817345</v>
      </c>
      <c r="AA147">
        <v>11908</v>
      </c>
      <c r="AB147">
        <v>287809</v>
      </c>
      <c r="AC147">
        <v>3476</v>
      </c>
      <c r="AD147">
        <v>320370</v>
      </c>
      <c r="AE147">
        <v>3520</v>
      </c>
      <c r="AF147">
        <v>2.7951004842999998</v>
      </c>
      <c r="AG147">
        <v>2</v>
      </c>
      <c r="AH147" t="e">
        <v>#N/A</v>
      </c>
      <c r="AI147" t="str">
        <v>None</v>
      </c>
      <c r="AJ147">
        <v>51.43</v>
      </c>
      <c r="AK147">
        <v>51.43</v>
      </c>
      <c r="AL147">
        <v>1.6494246009828403E+18</v>
      </c>
    </row>
    <row r="148" spans="8:38" x14ac:dyDescent="0.3">
      <c r="H148" t="str">
        <v>2022-04-08T20:03:21.658Z</v>
      </c>
      <c r="I148" t="str">
        <v>BBG000BY29C7</v>
      </c>
      <c r="J148">
        <v>35035</v>
      </c>
      <c r="K148">
        <v>20220408</v>
      </c>
      <c r="L148" t="str">
        <v>TPR</v>
      </c>
      <c r="M148" t="str">
        <v>Tapestry Inc</v>
      </c>
      <c r="N148" t="str">
        <v>NYSE</v>
      </c>
      <c r="O148" t="str">
        <v>US8760301072</v>
      </c>
      <c r="P148">
        <v>33.229999999999997</v>
      </c>
      <c r="Q148">
        <v>29282</v>
      </c>
      <c r="R148">
        <v>34.17</v>
      </c>
      <c r="S148" t="str">
        <v>11:09:11.623088896</v>
      </c>
      <c r="T148">
        <v>32.69</v>
      </c>
      <c r="U148" t="str">
        <v>09:34:50.702647296</v>
      </c>
      <c r="V148">
        <v>33.25</v>
      </c>
      <c r="W148">
        <v>255661</v>
      </c>
      <c r="X148">
        <v>2703442</v>
      </c>
      <c r="Y148">
        <v>31946</v>
      </c>
      <c r="Z148">
        <v>2706259</v>
      </c>
      <c r="AA148">
        <v>31973</v>
      </c>
      <c r="AB148">
        <v>994403</v>
      </c>
      <c r="AC148">
        <v>7395</v>
      </c>
      <c r="AD148">
        <v>1094596</v>
      </c>
      <c r="AE148">
        <v>7436</v>
      </c>
      <c r="AF148">
        <v>1.3902963189999999</v>
      </c>
      <c r="AG148">
        <v>1</v>
      </c>
      <c r="AH148" t="e">
        <v>#N/A</v>
      </c>
      <c r="AI148" t="str">
        <v>None</v>
      </c>
      <c r="AJ148">
        <v>33.5</v>
      </c>
      <c r="AK148">
        <v>33.5</v>
      </c>
      <c r="AL148">
        <v>1.6494246008332995E+18</v>
      </c>
    </row>
    <row r="149" spans="8:38" x14ac:dyDescent="0.3">
      <c r="H149" t="str">
        <v>2022-04-11T20:02:28.874Z</v>
      </c>
      <c r="I149" t="str">
        <v>BBG000BY29C7</v>
      </c>
      <c r="J149">
        <v>35035</v>
      </c>
      <c r="K149">
        <v>20220411</v>
      </c>
      <c r="L149" t="str">
        <v>TPR</v>
      </c>
      <c r="M149" t="str">
        <v>Tapestry Inc</v>
      </c>
      <c r="N149" t="str">
        <v>NYSE</v>
      </c>
      <c r="O149" t="str">
        <v>US8760301072</v>
      </c>
      <c r="P149">
        <v>32.909999999999997</v>
      </c>
      <c r="Q149">
        <v>26703</v>
      </c>
      <c r="R149">
        <v>34.770000000000003</v>
      </c>
      <c r="S149" t="str">
        <v>10:11:46.663677440</v>
      </c>
      <c r="T149">
        <v>32.64</v>
      </c>
      <c r="U149" t="str">
        <v>09:33:01.374319360</v>
      </c>
      <c r="V149">
        <v>33.549999999999997</v>
      </c>
      <c r="W149">
        <v>384005</v>
      </c>
      <c r="X149">
        <v>2629017</v>
      </c>
      <c r="Y149">
        <v>26940</v>
      </c>
      <c r="Z149">
        <v>2632154</v>
      </c>
      <c r="AA149">
        <v>26972</v>
      </c>
      <c r="AB149">
        <v>1358623</v>
      </c>
      <c r="AC149">
        <v>9446</v>
      </c>
      <c r="AD149">
        <v>1560621</v>
      </c>
      <c r="AE149">
        <v>9495</v>
      </c>
      <c r="AF149">
        <v>1.3902963189999999</v>
      </c>
      <c r="AG149">
        <v>1</v>
      </c>
      <c r="AH149" t="e">
        <v>#N/A</v>
      </c>
      <c r="AI149" t="str">
        <v>None</v>
      </c>
      <c r="AJ149">
        <v>33.83</v>
      </c>
      <c r="AK149">
        <v>33.83</v>
      </c>
      <c r="AL149">
        <v>1.6496838010965952E+18</v>
      </c>
    </row>
    <row r="150" spans="8:38" x14ac:dyDescent="0.3">
      <c r="H150" t="str">
        <v>2022-04-11T20:03:30.691Z</v>
      </c>
      <c r="I150" t="str">
        <v>BBG000BS7KS3</v>
      </c>
      <c r="J150">
        <v>32840</v>
      </c>
      <c r="K150">
        <v>20220411</v>
      </c>
      <c r="L150" t="str">
        <v>TAP</v>
      </c>
      <c r="M150" t="str">
        <v>Molson Coors Beverage Company</v>
      </c>
      <c r="N150" t="str">
        <v>NYSE</v>
      </c>
      <c r="O150" t="str">
        <v>US60871R2094</v>
      </c>
      <c r="P150">
        <v>51.81</v>
      </c>
      <c r="Q150">
        <v>15754</v>
      </c>
      <c r="R150">
        <v>53.63</v>
      </c>
      <c r="S150" t="str">
        <v>10:50:19.511838720</v>
      </c>
      <c r="T150">
        <v>51.8</v>
      </c>
      <c r="U150" t="str">
        <v>09:30:01.369665024</v>
      </c>
      <c r="V150">
        <v>52.84</v>
      </c>
      <c r="W150">
        <v>113003</v>
      </c>
      <c r="X150">
        <v>879967</v>
      </c>
      <c r="Y150">
        <v>15179</v>
      </c>
      <c r="Z150">
        <v>880244</v>
      </c>
      <c r="AA150">
        <v>15187</v>
      </c>
      <c r="AB150">
        <v>323919</v>
      </c>
      <c r="AC150">
        <v>4403</v>
      </c>
      <c r="AD150">
        <v>339878</v>
      </c>
      <c r="AE150">
        <v>4443</v>
      </c>
      <c r="AF150">
        <v>2.7951004842999998</v>
      </c>
      <c r="AG150">
        <v>2</v>
      </c>
      <c r="AH150" t="e">
        <v>#N/A</v>
      </c>
      <c r="AI150" t="str">
        <v>None</v>
      </c>
      <c r="AJ150">
        <v>52.9</v>
      </c>
      <c r="AK150">
        <v>52.9</v>
      </c>
      <c r="AL150">
        <v>1.6496838009817318E+18</v>
      </c>
    </row>
    <row r="151" spans="8:38" x14ac:dyDescent="0.3">
      <c r="H151" t="str">
        <v>2022-04-12T20:03:00.827Z</v>
      </c>
      <c r="I151" t="str">
        <v>BBG000BS7KS3</v>
      </c>
      <c r="J151">
        <v>32840</v>
      </c>
      <c r="K151">
        <v>20220412</v>
      </c>
      <c r="L151" t="str">
        <v>TAP</v>
      </c>
      <c r="M151" t="str">
        <v>Molson Coors Beverage Company</v>
      </c>
      <c r="N151" t="str">
        <v>NYSE</v>
      </c>
      <c r="O151" t="str">
        <v>US60871R2094</v>
      </c>
      <c r="P151">
        <v>52.88</v>
      </c>
      <c r="Q151">
        <v>15829</v>
      </c>
      <c r="R151">
        <v>53.73</v>
      </c>
      <c r="S151" t="str">
        <v>14:24:16.599047680</v>
      </c>
      <c r="T151">
        <v>52.74</v>
      </c>
      <c r="U151" t="str">
        <v>09:30:19.066169600</v>
      </c>
      <c r="V151">
        <v>53.67</v>
      </c>
      <c r="W151">
        <v>103024</v>
      </c>
      <c r="X151">
        <v>903363</v>
      </c>
      <c r="Y151">
        <v>14138</v>
      </c>
      <c r="Z151">
        <v>904266</v>
      </c>
      <c r="AA151">
        <v>14152</v>
      </c>
      <c r="AB151">
        <v>347273</v>
      </c>
      <c r="AC151">
        <v>4869</v>
      </c>
      <c r="AD151">
        <v>396590</v>
      </c>
      <c r="AE151">
        <v>4918</v>
      </c>
      <c r="AF151">
        <v>2.7951004842999998</v>
      </c>
      <c r="AG151">
        <v>2</v>
      </c>
      <c r="AH151" t="e">
        <v>#N/A</v>
      </c>
      <c r="AI151" t="str">
        <v>None</v>
      </c>
      <c r="AJ151">
        <v>53.5</v>
      </c>
      <c r="AK151">
        <v>53.5</v>
      </c>
      <c r="AL151">
        <v>1.6497702010467154E+18</v>
      </c>
    </row>
    <row r="152" spans="8:38" x14ac:dyDescent="0.3">
      <c r="H152" t="str">
        <v>2022-04-12T20:03:02.536Z</v>
      </c>
      <c r="I152" t="str">
        <v>BBG000BY29C7</v>
      </c>
      <c r="J152">
        <v>35035</v>
      </c>
      <c r="K152">
        <v>20220412</v>
      </c>
      <c r="L152" t="str">
        <v>TPR</v>
      </c>
      <c r="M152" t="str">
        <v>Tapestry Inc</v>
      </c>
      <c r="N152" t="str">
        <v>NYSE</v>
      </c>
      <c r="O152" t="str">
        <v>US8760301072</v>
      </c>
      <c r="P152">
        <v>34.200000000000003</v>
      </c>
      <c r="Q152">
        <v>55640</v>
      </c>
      <c r="R152">
        <v>35</v>
      </c>
      <c r="S152" t="str">
        <v>10:12:59.701758464</v>
      </c>
      <c r="T152">
        <v>33.96</v>
      </c>
      <c r="U152" t="str">
        <v>15:32:52.050056448</v>
      </c>
      <c r="V152">
        <v>34.06</v>
      </c>
      <c r="W152">
        <v>259977</v>
      </c>
      <c r="X152">
        <v>2535548</v>
      </c>
      <c r="Y152">
        <v>28001</v>
      </c>
      <c r="Z152">
        <v>2536253</v>
      </c>
      <c r="AA152">
        <v>28015</v>
      </c>
      <c r="AB152">
        <v>982794</v>
      </c>
      <c r="AC152">
        <v>7852</v>
      </c>
      <c r="AD152">
        <v>1056151</v>
      </c>
      <c r="AE152">
        <v>7889</v>
      </c>
      <c r="AF152">
        <v>1.3902963189999999</v>
      </c>
      <c r="AG152">
        <v>1</v>
      </c>
      <c r="AH152" t="e">
        <v>#N/A</v>
      </c>
      <c r="AI152" t="str">
        <v>None</v>
      </c>
      <c r="AJ152">
        <v>34.35</v>
      </c>
      <c r="AK152">
        <v>34.35</v>
      </c>
      <c r="AL152">
        <v>1.6497702007914435E+18</v>
      </c>
    </row>
    <row r="153" spans="8:38" x14ac:dyDescent="0.3">
      <c r="H153" t="str">
        <v>2022-04-13T20:03:42.963Z</v>
      </c>
      <c r="I153" t="str">
        <v>BBG000BS7KS3</v>
      </c>
      <c r="J153">
        <v>32840</v>
      </c>
      <c r="K153">
        <v>20220413</v>
      </c>
      <c r="L153" t="str">
        <v>TAP</v>
      </c>
      <c r="M153" t="str">
        <v>Molson Coors Beverage Company</v>
      </c>
      <c r="N153" t="str">
        <v>NYSE</v>
      </c>
      <c r="O153" t="str">
        <v>US60871R2094</v>
      </c>
      <c r="P153">
        <v>53.64</v>
      </c>
      <c r="Q153">
        <v>13458</v>
      </c>
      <c r="R153">
        <v>54.55</v>
      </c>
      <c r="S153" t="str">
        <v>10:11:49.647556096</v>
      </c>
      <c r="T153">
        <v>53.69</v>
      </c>
      <c r="U153" t="str">
        <v>09:31:03.873416960</v>
      </c>
      <c r="V153">
        <v>54.29</v>
      </c>
      <c r="W153">
        <v>227329</v>
      </c>
      <c r="X153">
        <v>920227</v>
      </c>
      <c r="Y153">
        <v>14237</v>
      </c>
      <c r="Z153">
        <v>920566</v>
      </c>
      <c r="AA153">
        <v>14252</v>
      </c>
      <c r="AB153">
        <v>320806</v>
      </c>
      <c r="AC153">
        <v>4974</v>
      </c>
      <c r="AD153">
        <v>343478</v>
      </c>
      <c r="AE153">
        <v>5015</v>
      </c>
      <c r="AF153">
        <v>2.7951004842999998</v>
      </c>
      <c r="AG153">
        <v>2</v>
      </c>
      <c r="AH153" t="e">
        <v>#N/A</v>
      </c>
      <c r="AI153" t="str">
        <v>None</v>
      </c>
      <c r="AJ153">
        <v>54.22</v>
      </c>
      <c r="AK153">
        <v>54.22</v>
      </c>
      <c r="AL153">
        <v>1.6498566009085985E+18</v>
      </c>
    </row>
    <row r="154" spans="8:38" x14ac:dyDescent="0.3">
      <c r="H154" t="str">
        <v>2022-04-13T20:03:46.285Z</v>
      </c>
      <c r="I154" t="str">
        <v>BBG000BY29C7</v>
      </c>
      <c r="J154">
        <v>35035</v>
      </c>
      <c r="K154">
        <v>20220413</v>
      </c>
      <c r="L154" t="str">
        <v>TPR</v>
      </c>
      <c r="M154" t="str">
        <v>Tapestry Inc</v>
      </c>
      <c r="N154" t="str">
        <v>NYSE</v>
      </c>
      <c r="O154" t="str">
        <v>US8760301072</v>
      </c>
      <c r="P154">
        <v>34.1</v>
      </c>
      <c r="Q154">
        <v>14987</v>
      </c>
      <c r="R154">
        <v>34.840000000000003</v>
      </c>
      <c r="S154" t="str">
        <v>09:38:51.507543552</v>
      </c>
      <c r="T154">
        <v>34.200000000000003</v>
      </c>
      <c r="U154" t="str">
        <v>10:09:01.484185088</v>
      </c>
      <c r="V154">
        <v>34.43</v>
      </c>
      <c r="W154">
        <v>262707</v>
      </c>
      <c r="X154">
        <v>2050915</v>
      </c>
      <c r="Y154">
        <v>23143</v>
      </c>
      <c r="Z154">
        <v>2051065</v>
      </c>
      <c r="AA154">
        <v>23148</v>
      </c>
      <c r="AB154">
        <v>1034204</v>
      </c>
      <c r="AC154">
        <v>6516</v>
      </c>
      <c r="AD154">
        <v>1094656</v>
      </c>
      <c r="AE154">
        <v>6555</v>
      </c>
      <c r="AF154">
        <v>1.3902963189999999</v>
      </c>
      <c r="AG154">
        <v>1</v>
      </c>
      <c r="AH154" t="e">
        <v>#N/A</v>
      </c>
      <c r="AI154" t="str">
        <v>None</v>
      </c>
      <c r="AJ154">
        <v>34.5</v>
      </c>
      <c r="AK154">
        <v>34.5</v>
      </c>
      <c r="AL154">
        <v>1.6498566007854961E+18</v>
      </c>
    </row>
    <row r="155" spans="8:38" x14ac:dyDescent="0.3">
      <c r="H155" t="str">
        <v>2022-04-14T20:03:33.606Z</v>
      </c>
      <c r="I155" t="str">
        <v>BBG000BS7KS3</v>
      </c>
      <c r="J155">
        <v>32840</v>
      </c>
      <c r="K155">
        <v>20220414</v>
      </c>
      <c r="L155" t="str">
        <v>TAP</v>
      </c>
      <c r="M155" t="str">
        <v>Molson Coors Beverage Company</v>
      </c>
      <c r="N155" t="str">
        <v>NYSE</v>
      </c>
      <c r="O155" t="str">
        <v>US60871R2094</v>
      </c>
      <c r="P155">
        <v>54.5</v>
      </c>
      <c r="Q155">
        <v>33020</v>
      </c>
      <c r="R155">
        <v>55.81</v>
      </c>
      <c r="S155" t="str">
        <v>12:03:53.149398272</v>
      </c>
      <c r="T155">
        <v>54.5</v>
      </c>
      <c r="U155" t="str">
        <v>09:30:01.572831744</v>
      </c>
      <c r="V155">
        <v>55.61</v>
      </c>
      <c r="W155">
        <v>274396</v>
      </c>
      <c r="X155">
        <v>1215611</v>
      </c>
      <c r="Y155">
        <v>16646</v>
      </c>
      <c r="Z155">
        <v>1216060</v>
      </c>
      <c r="AA155">
        <v>16659</v>
      </c>
      <c r="AB155">
        <v>593597</v>
      </c>
      <c r="AC155">
        <v>5141</v>
      </c>
      <c r="AD155">
        <v>1117352</v>
      </c>
      <c r="AE155">
        <v>5211</v>
      </c>
      <c r="AF155">
        <v>2.7951004842999998</v>
      </c>
      <c r="AG155">
        <v>2</v>
      </c>
      <c r="AH155" t="e">
        <v>#N/A</v>
      </c>
      <c r="AI155" t="str">
        <v>None</v>
      </c>
      <c r="AJ155">
        <v>55.44</v>
      </c>
      <c r="AK155">
        <v>55.49</v>
      </c>
      <c r="AL155">
        <v>1.6499430010383552E+18</v>
      </c>
    </row>
    <row r="156" spans="8:38" x14ac:dyDescent="0.3">
      <c r="H156" t="str">
        <v>2022-04-14T20:03:37.852Z</v>
      </c>
      <c r="I156" t="str">
        <v>BBG000BY29C7</v>
      </c>
      <c r="J156">
        <v>35035</v>
      </c>
      <c r="K156">
        <v>20220414</v>
      </c>
      <c r="L156" t="str">
        <v>TPR</v>
      </c>
      <c r="M156" t="str">
        <v>Tapestry Inc</v>
      </c>
      <c r="N156" t="str">
        <v>NYSE</v>
      </c>
      <c r="O156" t="str">
        <v>US8760301072</v>
      </c>
      <c r="P156">
        <v>34.57</v>
      </c>
      <c r="Q156">
        <v>50159</v>
      </c>
      <c r="R156">
        <v>35</v>
      </c>
      <c r="S156" t="str">
        <v>09:32:31.595354880</v>
      </c>
      <c r="T156">
        <v>33.47</v>
      </c>
      <c r="U156" t="str">
        <v>15:39:05.441699072</v>
      </c>
      <c r="V156">
        <v>33.74</v>
      </c>
      <c r="W156">
        <v>716317</v>
      </c>
      <c r="X156">
        <v>2981514</v>
      </c>
      <c r="Y156">
        <v>27281</v>
      </c>
      <c r="Z156">
        <v>2982097</v>
      </c>
      <c r="AA156">
        <v>27302</v>
      </c>
      <c r="AB156">
        <v>1283998</v>
      </c>
      <c r="AC156">
        <v>6861</v>
      </c>
      <c r="AD156">
        <v>1347632</v>
      </c>
      <c r="AE156">
        <v>6897</v>
      </c>
      <c r="AF156">
        <v>1.3902963189999999</v>
      </c>
      <c r="AG156">
        <v>1</v>
      </c>
      <c r="AH156" t="e">
        <v>#N/A</v>
      </c>
      <c r="AI156" t="str">
        <v>None</v>
      </c>
      <c r="AJ156">
        <v>34.049999999999997</v>
      </c>
      <c r="AK156">
        <v>34.049999999999997</v>
      </c>
      <c r="AL156">
        <v>1.6499430008783698E+18</v>
      </c>
    </row>
    <row r="157" spans="8:38" x14ac:dyDescent="0.3">
      <c r="H157" t="str">
        <v>2022-04-18T20:02:09.359Z</v>
      </c>
      <c r="I157" t="str">
        <v>BBG000BY29C7</v>
      </c>
      <c r="J157">
        <v>35035</v>
      </c>
      <c r="K157">
        <v>20220418</v>
      </c>
      <c r="L157" t="str">
        <v>TPR</v>
      </c>
      <c r="M157" t="str">
        <v>Tapestry Inc</v>
      </c>
      <c r="N157" t="str">
        <v>NYSE</v>
      </c>
      <c r="O157" t="str">
        <v>US8760301072</v>
      </c>
      <c r="P157">
        <v>33.89</v>
      </c>
      <c r="Q157">
        <v>52311</v>
      </c>
      <c r="R157">
        <v>34.33</v>
      </c>
      <c r="S157" t="str">
        <v>11:07:13.328309504</v>
      </c>
      <c r="T157">
        <v>33.5</v>
      </c>
      <c r="U157" t="str">
        <v>12:17:27.947200000</v>
      </c>
      <c r="V157">
        <v>33.909999999999997</v>
      </c>
      <c r="W157">
        <v>405431</v>
      </c>
      <c r="X157">
        <v>2457124</v>
      </c>
      <c r="Y157">
        <v>27731</v>
      </c>
      <c r="Z157">
        <v>2457380</v>
      </c>
      <c r="AA157">
        <v>27740</v>
      </c>
      <c r="AB157">
        <v>1157524</v>
      </c>
      <c r="AC157">
        <v>7060</v>
      </c>
      <c r="AD157">
        <v>1483444</v>
      </c>
      <c r="AE157">
        <v>7085</v>
      </c>
      <c r="AF157">
        <v>1.3902963189999999</v>
      </c>
      <c r="AG157">
        <v>1</v>
      </c>
      <c r="AH157" t="e">
        <v>#N/A</v>
      </c>
      <c r="AI157" t="str">
        <v>None</v>
      </c>
      <c r="AJ157">
        <v>33.94</v>
      </c>
      <c r="AK157">
        <v>33.94</v>
      </c>
      <c r="AL157">
        <v>1.6502886009220009E+18</v>
      </c>
    </row>
    <row r="158" spans="8:38" x14ac:dyDescent="0.3">
      <c r="H158" t="str">
        <v>2022-04-18T20:02:51.325Z</v>
      </c>
      <c r="I158" t="str">
        <v>BBG000BS7KS3</v>
      </c>
      <c r="J158">
        <v>32840</v>
      </c>
      <c r="K158">
        <v>20220418</v>
      </c>
      <c r="L158" t="str">
        <v>TAP</v>
      </c>
      <c r="M158" t="str">
        <v>Molson Coors Beverage Company</v>
      </c>
      <c r="N158" t="str">
        <v>NYSE</v>
      </c>
      <c r="O158" t="str">
        <v>US60871R2094</v>
      </c>
      <c r="P158">
        <v>55.71</v>
      </c>
      <c r="Q158">
        <v>14710</v>
      </c>
      <c r="R158">
        <v>56.4</v>
      </c>
      <c r="S158" t="str">
        <v>10:39:46.029668096</v>
      </c>
      <c r="T158">
        <v>55.34</v>
      </c>
      <c r="U158" t="str">
        <v>09:33:04.815825664</v>
      </c>
      <c r="V158">
        <v>55.63</v>
      </c>
      <c r="W158">
        <v>234404</v>
      </c>
      <c r="X158">
        <v>1087139</v>
      </c>
      <c r="Y158">
        <v>16011</v>
      </c>
      <c r="Z158">
        <v>1087144</v>
      </c>
      <c r="AA158">
        <v>16015</v>
      </c>
      <c r="AB158">
        <v>390645</v>
      </c>
      <c r="AC158">
        <v>4554</v>
      </c>
      <c r="AD158">
        <v>414969</v>
      </c>
      <c r="AE158">
        <v>4598</v>
      </c>
      <c r="AF158">
        <v>2.7951004842999998</v>
      </c>
      <c r="AG158">
        <v>2</v>
      </c>
      <c r="AH158" t="e">
        <v>#N/A</v>
      </c>
      <c r="AI158" t="str">
        <v>None</v>
      </c>
      <c r="AJ158">
        <v>55.78</v>
      </c>
      <c r="AK158">
        <v>55.78</v>
      </c>
      <c r="AL158">
        <v>1.6502886011135311E+18</v>
      </c>
    </row>
    <row r="159" spans="8:38" x14ac:dyDescent="0.3">
      <c r="H159" t="str">
        <v>2022-04-19T20:03:18.654Z</v>
      </c>
      <c r="I159" t="str">
        <v>BBG000BS7KS3</v>
      </c>
      <c r="J159">
        <v>32840</v>
      </c>
      <c r="K159">
        <v>20220419</v>
      </c>
      <c r="L159" t="str">
        <v>TAP</v>
      </c>
      <c r="M159" t="str">
        <v>Molson Coors Beverage Company</v>
      </c>
      <c r="N159" t="str">
        <v>NYSE</v>
      </c>
      <c r="O159" t="str">
        <v>US60871R2094</v>
      </c>
      <c r="P159">
        <v>55.81</v>
      </c>
      <c r="Q159">
        <v>13704</v>
      </c>
      <c r="R159">
        <v>56.3</v>
      </c>
      <c r="S159" t="str">
        <v>10:06:28.110773760</v>
      </c>
      <c r="T159">
        <v>55.74</v>
      </c>
      <c r="U159" t="str">
        <v>14:11:55.042747392</v>
      </c>
      <c r="V159">
        <v>55.87</v>
      </c>
      <c r="W159">
        <v>110050</v>
      </c>
      <c r="X159">
        <v>734682</v>
      </c>
      <c r="Y159">
        <v>12507</v>
      </c>
      <c r="Z159">
        <v>734793</v>
      </c>
      <c r="AA159">
        <v>12514</v>
      </c>
      <c r="AB159">
        <v>244921</v>
      </c>
      <c r="AC159">
        <v>4266</v>
      </c>
      <c r="AD159">
        <v>261563</v>
      </c>
      <c r="AE159">
        <v>4292</v>
      </c>
      <c r="AF159">
        <v>2.7951004842999998</v>
      </c>
      <c r="AG159">
        <v>2</v>
      </c>
      <c r="AH159" t="e">
        <v>#N/A</v>
      </c>
      <c r="AI159" t="str">
        <v>None</v>
      </c>
      <c r="AJ159">
        <v>55.91</v>
      </c>
      <c r="AK159">
        <v>55.91</v>
      </c>
      <c r="AL159">
        <v>1.6503750009208581E+18</v>
      </c>
    </row>
    <row r="160" spans="8:38" x14ac:dyDescent="0.3">
      <c r="H160" t="str">
        <v>2022-04-19T20:03:22.095Z</v>
      </c>
      <c r="I160" t="str">
        <v>BBG000BY29C7</v>
      </c>
      <c r="J160">
        <v>35035</v>
      </c>
      <c r="K160">
        <v>20220419</v>
      </c>
      <c r="L160" t="str">
        <v>TPR</v>
      </c>
      <c r="M160" t="str">
        <v>Tapestry Inc</v>
      </c>
      <c r="N160" t="str">
        <v>NYSE</v>
      </c>
      <c r="O160" t="str">
        <v>US8760301072</v>
      </c>
      <c r="P160">
        <v>34.22</v>
      </c>
      <c r="Q160">
        <v>37417</v>
      </c>
      <c r="R160">
        <v>35.72</v>
      </c>
      <c r="S160" t="str">
        <v>13:14:15.604693248</v>
      </c>
      <c r="T160">
        <v>34.130000000000003</v>
      </c>
      <c r="U160" t="str">
        <v>09:30:06.049459968</v>
      </c>
      <c r="V160">
        <v>35.32</v>
      </c>
      <c r="W160">
        <v>359346</v>
      </c>
      <c r="X160">
        <v>2181313</v>
      </c>
      <c r="Y160">
        <v>19900</v>
      </c>
      <c r="Z160">
        <v>2190610</v>
      </c>
      <c r="AA160">
        <v>19986</v>
      </c>
      <c r="AB160">
        <v>965321</v>
      </c>
      <c r="AC160">
        <v>5995</v>
      </c>
      <c r="AD160">
        <v>1047012</v>
      </c>
      <c r="AE160">
        <v>6022</v>
      </c>
      <c r="AF160">
        <v>1.3902963189999999</v>
      </c>
      <c r="AG160">
        <v>1</v>
      </c>
      <c r="AH160" t="e">
        <v>#N/A</v>
      </c>
      <c r="AI160" t="str">
        <v>None</v>
      </c>
      <c r="AJ160">
        <v>35.21</v>
      </c>
      <c r="AK160">
        <v>35.21</v>
      </c>
      <c r="AL160">
        <v>1.6503750007850199E+18</v>
      </c>
    </row>
    <row r="161" spans="8:38" x14ac:dyDescent="0.3">
      <c r="H161" t="str">
        <v>2022-04-20T20:03:08.116Z</v>
      </c>
      <c r="I161" t="str">
        <v>BBG000BS7KS3</v>
      </c>
      <c r="J161">
        <v>32840</v>
      </c>
      <c r="K161">
        <v>20220420</v>
      </c>
      <c r="L161" t="str">
        <v>TAP</v>
      </c>
      <c r="M161" t="str">
        <v>Molson Coors Beverage Company</v>
      </c>
      <c r="N161" t="str">
        <v>NYSE</v>
      </c>
      <c r="O161" t="str">
        <v>US60871R2094</v>
      </c>
      <c r="P161">
        <v>56.08</v>
      </c>
      <c r="Q161">
        <v>21726</v>
      </c>
      <c r="R161">
        <v>57.17</v>
      </c>
      <c r="S161" t="str">
        <v>14:11:05.229041664</v>
      </c>
      <c r="T161">
        <v>56.13</v>
      </c>
      <c r="U161" t="str">
        <v>09:30:01.843567360</v>
      </c>
      <c r="V161">
        <v>56.78</v>
      </c>
      <c r="W161">
        <v>104492</v>
      </c>
      <c r="X161">
        <v>705765</v>
      </c>
      <c r="Y161">
        <v>12566</v>
      </c>
      <c r="Z161">
        <v>706205</v>
      </c>
      <c r="AA161">
        <v>12573</v>
      </c>
      <c r="AB161">
        <v>281424</v>
      </c>
      <c r="AC161">
        <v>4722</v>
      </c>
      <c r="AD161">
        <v>498750</v>
      </c>
      <c r="AE161">
        <v>4769</v>
      </c>
      <c r="AF161">
        <v>2.7951004842999998</v>
      </c>
      <c r="AG161">
        <v>2</v>
      </c>
      <c r="AH161" t="e">
        <v>#N/A</v>
      </c>
      <c r="AI161" t="str">
        <v>None</v>
      </c>
      <c r="AJ161">
        <v>56.8</v>
      </c>
      <c r="AK161">
        <v>56.8</v>
      </c>
      <c r="AL161">
        <v>1.6504614009782948E+18</v>
      </c>
    </row>
    <row r="162" spans="8:38" x14ac:dyDescent="0.3">
      <c r="H162" t="str">
        <v>2022-04-20T20:03:11.190Z</v>
      </c>
      <c r="I162" t="str">
        <v>BBG000BY29C7</v>
      </c>
      <c r="J162">
        <v>35035</v>
      </c>
      <c r="K162">
        <v>20220420</v>
      </c>
      <c r="L162" t="str">
        <v>TPR</v>
      </c>
      <c r="M162" t="str">
        <v>Tapestry Inc</v>
      </c>
      <c r="N162" t="str">
        <v>NYSE</v>
      </c>
      <c r="O162" t="str">
        <v>US8760301072</v>
      </c>
      <c r="P162">
        <v>35.64</v>
      </c>
      <c r="Q162">
        <v>37345</v>
      </c>
      <c r="R162">
        <v>35.9</v>
      </c>
      <c r="S162" t="str">
        <v>09:36:07.619202560</v>
      </c>
      <c r="T162">
        <v>34.93</v>
      </c>
      <c r="U162" t="str">
        <v>15:55:46.750739712</v>
      </c>
      <c r="V162">
        <v>34.96</v>
      </c>
      <c r="W162">
        <v>178480</v>
      </c>
      <c r="X162">
        <v>1472397</v>
      </c>
      <c r="Y162">
        <v>19075</v>
      </c>
      <c r="Z162">
        <v>1472910</v>
      </c>
      <c r="AA162">
        <v>19084</v>
      </c>
      <c r="AB162">
        <v>518023</v>
      </c>
      <c r="AC162">
        <v>4479</v>
      </c>
      <c r="AD162">
        <v>608079</v>
      </c>
      <c r="AE162">
        <v>4521</v>
      </c>
      <c r="AF162">
        <v>1.3902963189999999</v>
      </c>
      <c r="AG162">
        <v>1</v>
      </c>
      <c r="AH162" t="e">
        <v>#N/A</v>
      </c>
      <c r="AI162" t="str">
        <v>None</v>
      </c>
      <c r="AJ162">
        <v>35.21</v>
      </c>
      <c r="AK162">
        <v>35.200000000000003</v>
      </c>
      <c r="AL162">
        <v>1.6504614426021673E+18</v>
      </c>
    </row>
    <row r="163" spans="8:38" x14ac:dyDescent="0.3">
      <c r="H163" t="str">
        <v>2022-04-21T20:03:28.108Z</v>
      </c>
      <c r="I163" t="str">
        <v>BBG000BS7KS3</v>
      </c>
      <c r="J163">
        <v>32840</v>
      </c>
      <c r="K163">
        <v>20220421</v>
      </c>
      <c r="L163" t="str">
        <v>TAP</v>
      </c>
      <c r="M163" t="str">
        <v>Molson Coors Beverage Company</v>
      </c>
      <c r="N163" t="str">
        <v>NYSE</v>
      </c>
      <c r="O163" t="str">
        <v>US60871R2094</v>
      </c>
      <c r="P163">
        <v>56.95</v>
      </c>
      <c r="Q163">
        <v>15283</v>
      </c>
      <c r="R163">
        <v>57.45</v>
      </c>
      <c r="S163" t="str">
        <v>10:21:11.507432448</v>
      </c>
      <c r="T163">
        <v>55.8</v>
      </c>
      <c r="U163" t="str">
        <v>15:59:23.863302656</v>
      </c>
      <c r="V163">
        <v>55.87</v>
      </c>
      <c r="W163">
        <v>178225</v>
      </c>
      <c r="X163">
        <v>885021</v>
      </c>
      <c r="Y163">
        <v>13806</v>
      </c>
      <c r="Z163">
        <v>885369</v>
      </c>
      <c r="AA163">
        <v>13812</v>
      </c>
      <c r="AB163">
        <v>383506</v>
      </c>
      <c r="AC163">
        <v>4744</v>
      </c>
      <c r="AD163">
        <v>522341</v>
      </c>
      <c r="AE163">
        <v>4781</v>
      </c>
      <c r="AF163">
        <v>2.7951004842999998</v>
      </c>
      <c r="AG163">
        <v>2</v>
      </c>
      <c r="AH163" t="e">
        <v>#N/A</v>
      </c>
      <c r="AI163" t="str">
        <v>None</v>
      </c>
      <c r="AJ163">
        <v>56.48</v>
      </c>
      <c r="AK163">
        <v>56.42</v>
      </c>
      <c r="AL163">
        <v>1.6505478009709038E+18</v>
      </c>
    </row>
    <row r="164" spans="8:38" x14ac:dyDescent="0.3">
      <c r="H164" t="str">
        <v>2022-04-21T20:03:31.960Z</v>
      </c>
      <c r="I164" t="str">
        <v>BBG000BY29C7</v>
      </c>
      <c r="J164">
        <v>35035</v>
      </c>
      <c r="K164">
        <v>20220421</v>
      </c>
      <c r="L164" t="str">
        <v>TPR</v>
      </c>
      <c r="M164" t="str">
        <v>Tapestry Inc</v>
      </c>
      <c r="N164" t="str">
        <v>NYSE</v>
      </c>
      <c r="O164" t="str">
        <v>US8760301072</v>
      </c>
      <c r="P164">
        <v>35.72</v>
      </c>
      <c r="Q164">
        <v>29687</v>
      </c>
      <c r="R164">
        <v>35.85</v>
      </c>
      <c r="S164" t="str">
        <v>09:31:39.917740288</v>
      </c>
      <c r="T164">
        <v>34.21</v>
      </c>
      <c r="U164" t="str">
        <v>15:10:29.944394240</v>
      </c>
      <c r="V164">
        <v>34.54</v>
      </c>
      <c r="W164">
        <v>249053</v>
      </c>
      <c r="X164">
        <v>2005352</v>
      </c>
      <c r="Y164">
        <v>23687</v>
      </c>
      <c r="Z164">
        <v>2005653</v>
      </c>
      <c r="AA164">
        <v>23699</v>
      </c>
      <c r="AB164">
        <v>919213</v>
      </c>
      <c r="AC164">
        <v>5746</v>
      </c>
      <c r="AD164">
        <v>944307</v>
      </c>
      <c r="AE164">
        <v>5775</v>
      </c>
      <c r="AF164">
        <v>1.3902963189999999</v>
      </c>
      <c r="AG164">
        <v>1</v>
      </c>
      <c r="AH164" t="e">
        <v>#N/A</v>
      </c>
      <c r="AI164" t="str">
        <v>None</v>
      </c>
      <c r="AJ164">
        <v>34.840000000000003</v>
      </c>
      <c r="AK164">
        <v>34.840000000000003</v>
      </c>
      <c r="AL164">
        <v>1.6505478788369587E+18</v>
      </c>
    </row>
    <row r="165" spans="8:38" x14ac:dyDescent="0.3">
      <c r="H165" t="str">
        <v>2022-04-22T20:03:40.963Z</v>
      </c>
      <c r="I165" t="str">
        <v>BBG000BY29C7</v>
      </c>
      <c r="J165">
        <v>35035</v>
      </c>
      <c r="K165">
        <v>20220422</v>
      </c>
      <c r="L165" t="str">
        <v>TPR</v>
      </c>
      <c r="M165" t="str">
        <v>Tapestry Inc</v>
      </c>
      <c r="N165" t="str">
        <v>NYSE</v>
      </c>
      <c r="O165" t="str">
        <v>US8760301072</v>
      </c>
      <c r="P165">
        <v>33.979999999999997</v>
      </c>
      <c r="Q165">
        <v>46183</v>
      </c>
      <c r="R165">
        <v>34.119999999999997</v>
      </c>
      <c r="S165" t="str">
        <v>09:30:02.827025664</v>
      </c>
      <c r="T165">
        <v>32.869999999999997</v>
      </c>
      <c r="U165" t="str">
        <v>15:10:28.462396928</v>
      </c>
      <c r="V165">
        <v>32.96</v>
      </c>
      <c r="W165">
        <v>526020</v>
      </c>
      <c r="X165">
        <v>2161839</v>
      </c>
      <c r="Y165">
        <v>22135</v>
      </c>
      <c r="Z165">
        <v>2163792</v>
      </c>
      <c r="AA165">
        <v>22180</v>
      </c>
      <c r="AB165">
        <v>576225</v>
      </c>
      <c r="AC165">
        <v>6388</v>
      </c>
      <c r="AD165">
        <v>641299</v>
      </c>
      <c r="AE165">
        <v>6446</v>
      </c>
      <c r="AF165">
        <v>1.3902963189999999</v>
      </c>
      <c r="AG165">
        <v>1</v>
      </c>
      <c r="AH165" t="e">
        <v>#N/A</v>
      </c>
      <c r="AI165" t="str">
        <v>None</v>
      </c>
      <c r="AJ165">
        <v>33.24</v>
      </c>
      <c r="AK165">
        <v>33.24</v>
      </c>
      <c r="AL165">
        <v>1.6506342008258363E+18</v>
      </c>
    </row>
    <row r="166" spans="8:38" x14ac:dyDescent="0.3">
      <c r="H166" t="str">
        <v>2022-04-22T20:04:04.952Z</v>
      </c>
      <c r="I166" t="str">
        <v>BBG000BS7KS3</v>
      </c>
      <c r="J166">
        <v>32840</v>
      </c>
      <c r="K166">
        <v>20220422</v>
      </c>
      <c r="L166" t="str">
        <v>TAP</v>
      </c>
      <c r="M166" t="str">
        <v>Molson Coors Beverage Company</v>
      </c>
      <c r="N166" t="str">
        <v>NYSE</v>
      </c>
      <c r="O166" t="str">
        <v>US60871R2094</v>
      </c>
      <c r="P166">
        <v>55.51</v>
      </c>
      <c r="Q166">
        <v>13212</v>
      </c>
      <c r="R166">
        <v>55.69</v>
      </c>
      <c r="S166" t="str">
        <v>09:30:02.248004096</v>
      </c>
      <c r="T166">
        <v>53.72</v>
      </c>
      <c r="U166" t="str">
        <v>15:59:25.190431488</v>
      </c>
      <c r="V166">
        <v>53.77</v>
      </c>
      <c r="W166">
        <v>225030</v>
      </c>
      <c r="X166">
        <v>844858</v>
      </c>
      <c r="Y166">
        <v>13321</v>
      </c>
      <c r="Z166">
        <v>845367</v>
      </c>
      <c r="AA166">
        <v>13344</v>
      </c>
      <c r="AB166">
        <v>280382</v>
      </c>
      <c r="AC166">
        <v>3970</v>
      </c>
      <c r="AD166">
        <v>302249</v>
      </c>
      <c r="AE166">
        <v>4002</v>
      </c>
      <c r="AF166">
        <v>2.7951004842999998</v>
      </c>
      <c r="AG166">
        <v>2</v>
      </c>
      <c r="AH166" t="e">
        <v>#N/A</v>
      </c>
      <c r="AI166" t="str">
        <v>None</v>
      </c>
      <c r="AJ166">
        <v>54.26</v>
      </c>
      <c r="AK166">
        <v>54.25</v>
      </c>
      <c r="AL166">
        <v>1.6506342009679795E+18</v>
      </c>
    </row>
    <row r="167" spans="8:38" x14ac:dyDescent="0.3">
      <c r="H167" t="str">
        <v>2022-04-25T20:03:34.512Z</v>
      </c>
      <c r="I167" t="str">
        <v>BBG000BS7KS3</v>
      </c>
      <c r="J167">
        <v>32840</v>
      </c>
      <c r="K167">
        <v>20220425</v>
      </c>
      <c r="L167" t="str">
        <v>TAP</v>
      </c>
      <c r="M167" t="str">
        <v>Molson Coors Beverage Company</v>
      </c>
      <c r="N167" t="str">
        <v>NYSE</v>
      </c>
      <c r="O167" t="str">
        <v>US60871R2094</v>
      </c>
      <c r="P167">
        <v>53.75</v>
      </c>
      <c r="Q167">
        <v>14945</v>
      </c>
      <c r="R167">
        <v>54.47</v>
      </c>
      <c r="S167" t="str">
        <v>15:52:46.951691264</v>
      </c>
      <c r="T167">
        <v>52.53</v>
      </c>
      <c r="U167" t="str">
        <v>11:10:30.801081344</v>
      </c>
      <c r="V167">
        <v>54.44</v>
      </c>
      <c r="W167">
        <v>207735</v>
      </c>
      <c r="X167">
        <v>990938</v>
      </c>
      <c r="Y167">
        <v>14968</v>
      </c>
      <c r="Z167">
        <v>991165</v>
      </c>
      <c r="AA167">
        <v>14977</v>
      </c>
      <c r="AB167">
        <v>302340</v>
      </c>
      <c r="AC167">
        <v>4833</v>
      </c>
      <c r="AD167">
        <v>352429</v>
      </c>
      <c r="AE167">
        <v>4873</v>
      </c>
      <c r="AF167">
        <v>2.7951004842999998</v>
      </c>
      <c r="AG167">
        <v>2</v>
      </c>
      <c r="AH167" t="e">
        <v>#N/A</v>
      </c>
      <c r="AI167" t="str">
        <v>None</v>
      </c>
      <c r="AJ167">
        <v>53.74</v>
      </c>
      <c r="AK167">
        <v>53.76</v>
      </c>
      <c r="AL167">
        <v>1.6508934010462036E+18</v>
      </c>
    </row>
    <row r="168" spans="8:38" x14ac:dyDescent="0.3">
      <c r="H168" t="str">
        <v>2022-04-25T20:03:37.964Z</v>
      </c>
      <c r="I168" t="str">
        <v>BBG000BY29C7</v>
      </c>
      <c r="J168">
        <v>35035</v>
      </c>
      <c r="K168">
        <v>20220425</v>
      </c>
      <c r="L168" t="str">
        <v>TPR</v>
      </c>
      <c r="M168" t="str">
        <v>Tapestry Inc</v>
      </c>
      <c r="N168" t="str">
        <v>NYSE</v>
      </c>
      <c r="O168" t="str">
        <v>US8760301072</v>
      </c>
      <c r="P168">
        <v>32.67</v>
      </c>
      <c r="Q168">
        <v>52067</v>
      </c>
      <c r="R168">
        <v>33.200000000000003</v>
      </c>
      <c r="S168" t="str">
        <v>15:59:45.491394304</v>
      </c>
      <c r="T168">
        <v>32.19</v>
      </c>
      <c r="U168" t="str">
        <v>11:57:00.338213376</v>
      </c>
      <c r="V168">
        <v>33.17</v>
      </c>
      <c r="W168">
        <v>423737</v>
      </c>
      <c r="X168">
        <v>3089407</v>
      </c>
      <c r="Y168">
        <v>33200</v>
      </c>
      <c r="Z168">
        <v>3096337</v>
      </c>
      <c r="AA168">
        <v>33282</v>
      </c>
      <c r="AB168">
        <v>1442044</v>
      </c>
      <c r="AC168">
        <v>9556</v>
      </c>
      <c r="AD168">
        <v>1500402</v>
      </c>
      <c r="AE168">
        <v>9590</v>
      </c>
      <c r="AF168">
        <v>1.3902963189999999</v>
      </c>
      <c r="AG168">
        <v>1</v>
      </c>
      <c r="AH168" t="e">
        <v>#N/A</v>
      </c>
      <c r="AI168" t="str">
        <v>None</v>
      </c>
      <c r="AJ168">
        <v>32.74</v>
      </c>
      <c r="AK168">
        <v>32.75</v>
      </c>
      <c r="AL168">
        <v>1.6508934008536604E+18</v>
      </c>
    </row>
    <row r="169" spans="8:38" x14ac:dyDescent="0.3">
      <c r="H169" t="str">
        <v>2022-04-26T20:03:22.470Z</v>
      </c>
      <c r="I169" t="str">
        <v>BBG000BS7KS3</v>
      </c>
      <c r="J169">
        <v>32840</v>
      </c>
      <c r="K169">
        <v>20220426</v>
      </c>
      <c r="L169" t="str">
        <v>TAP</v>
      </c>
      <c r="M169" t="str">
        <v>Molson Coors Beverage Company</v>
      </c>
      <c r="N169" t="str">
        <v>NYSE</v>
      </c>
      <c r="O169" t="str">
        <v>US60871R2094</v>
      </c>
      <c r="P169">
        <v>54.31</v>
      </c>
      <c r="Q169">
        <v>15058</v>
      </c>
      <c r="R169">
        <v>54.73</v>
      </c>
      <c r="S169" t="str">
        <v>10:03:20.960576512</v>
      </c>
      <c r="T169">
        <v>53.94</v>
      </c>
      <c r="U169" t="str">
        <v>12:01:40.156074496</v>
      </c>
      <c r="V169">
        <v>54.17</v>
      </c>
      <c r="W169">
        <v>116132</v>
      </c>
      <c r="X169">
        <v>740479</v>
      </c>
      <c r="Y169">
        <v>10975</v>
      </c>
      <c r="Z169">
        <v>741168</v>
      </c>
      <c r="AA169">
        <v>10984</v>
      </c>
      <c r="AB169">
        <v>283816</v>
      </c>
      <c r="AC169">
        <v>4298</v>
      </c>
      <c r="AD169">
        <v>300154</v>
      </c>
      <c r="AE169">
        <v>4333</v>
      </c>
      <c r="AF169">
        <v>2.7951004842999998</v>
      </c>
      <c r="AG169">
        <v>2</v>
      </c>
      <c r="AH169" t="e">
        <v>#N/A</v>
      </c>
      <c r="AI169" t="str">
        <v>None</v>
      </c>
      <c r="AJ169">
        <v>54.3</v>
      </c>
      <c r="AK169">
        <v>54.3</v>
      </c>
      <c r="AL169">
        <v>1.6509798010452029E+18</v>
      </c>
    </row>
    <row r="170" spans="8:38" x14ac:dyDescent="0.3">
      <c r="H170" t="str">
        <v>2022-04-26T20:03:26.012Z</v>
      </c>
      <c r="I170" t="str">
        <v>BBG000BY29C7</v>
      </c>
      <c r="J170">
        <v>35035</v>
      </c>
      <c r="K170">
        <v>20220426</v>
      </c>
      <c r="L170" t="str">
        <v>TPR</v>
      </c>
      <c r="M170" t="str">
        <v>Tapestry Inc</v>
      </c>
      <c r="N170" t="str">
        <v>NYSE</v>
      </c>
      <c r="O170" t="str">
        <v>US8760301072</v>
      </c>
      <c r="P170">
        <v>32.96</v>
      </c>
      <c r="Q170">
        <v>33484</v>
      </c>
      <c r="R170">
        <v>33.04</v>
      </c>
      <c r="S170" t="str">
        <v>09:31:08.560669696</v>
      </c>
      <c r="T170">
        <v>32.01</v>
      </c>
      <c r="U170" t="str">
        <v>11:20:02.657759488</v>
      </c>
      <c r="V170">
        <v>32.44</v>
      </c>
      <c r="W170">
        <v>375257</v>
      </c>
      <c r="X170">
        <v>1873306</v>
      </c>
      <c r="Y170">
        <v>21707</v>
      </c>
      <c r="Z170">
        <v>1875481</v>
      </c>
      <c r="AA170">
        <v>21735</v>
      </c>
      <c r="AB170">
        <v>587030</v>
      </c>
      <c r="AC170">
        <v>5088</v>
      </c>
      <c r="AD170">
        <v>639568</v>
      </c>
      <c r="AE170">
        <v>5127</v>
      </c>
      <c r="AF170">
        <v>1.3902963189999999</v>
      </c>
      <c r="AG170">
        <v>1</v>
      </c>
      <c r="AH170" t="e">
        <v>#N/A</v>
      </c>
      <c r="AI170" t="str">
        <v>None</v>
      </c>
      <c r="AJ170">
        <v>32.479999999999997</v>
      </c>
      <c r="AK170">
        <v>32.479999999999997</v>
      </c>
      <c r="AL170">
        <v>1.6509798010418094E+18</v>
      </c>
    </row>
    <row r="171" spans="8:38" x14ac:dyDescent="0.3">
      <c r="H171" t="str">
        <v>2022-04-27T20:03:41.423Z</v>
      </c>
      <c r="I171" t="str">
        <v>BBG000BS7KS3</v>
      </c>
      <c r="J171">
        <v>32840</v>
      </c>
      <c r="K171">
        <v>20220427</v>
      </c>
      <c r="L171" t="str">
        <v>TAP</v>
      </c>
      <c r="M171" t="str">
        <v>Molson Coors Beverage Company</v>
      </c>
      <c r="N171" t="str">
        <v>NYSE</v>
      </c>
      <c r="O171" t="str">
        <v>US60871R2094</v>
      </c>
      <c r="P171">
        <v>54.17</v>
      </c>
      <c r="Q171">
        <v>10750</v>
      </c>
      <c r="R171">
        <v>55.03</v>
      </c>
      <c r="S171" t="str">
        <v>14:03:11.277084928</v>
      </c>
      <c r="T171">
        <v>53.39</v>
      </c>
      <c r="U171" t="str">
        <v>09:37:13.982171136</v>
      </c>
      <c r="V171">
        <v>54.23</v>
      </c>
      <c r="W171">
        <v>115585</v>
      </c>
      <c r="X171">
        <v>735091</v>
      </c>
      <c r="Y171">
        <v>15545</v>
      </c>
      <c r="Z171">
        <v>735113</v>
      </c>
      <c r="AA171">
        <v>15550</v>
      </c>
      <c r="AB171">
        <v>361059</v>
      </c>
      <c r="AC171">
        <v>4964</v>
      </c>
      <c r="AD171">
        <v>384587</v>
      </c>
      <c r="AE171">
        <v>5003</v>
      </c>
      <c r="AF171">
        <v>2.7951004842999998</v>
      </c>
      <c r="AG171">
        <v>2</v>
      </c>
      <c r="AH171" t="e">
        <v>#N/A</v>
      </c>
      <c r="AI171" t="str">
        <v>None</v>
      </c>
      <c r="AJ171">
        <v>54.44</v>
      </c>
      <c r="AK171">
        <v>54.44</v>
      </c>
      <c r="AL171">
        <v>1.6510662008929275E+18</v>
      </c>
    </row>
    <row r="172" spans="8:38" x14ac:dyDescent="0.3">
      <c r="H172" t="str">
        <v>2022-04-27T20:03:46.698Z</v>
      </c>
      <c r="I172" t="str">
        <v>BBG000BY29C7</v>
      </c>
      <c r="J172">
        <v>35035</v>
      </c>
      <c r="K172">
        <v>20220427</v>
      </c>
      <c r="L172" t="str">
        <v>TPR</v>
      </c>
      <c r="M172" t="str">
        <v>Tapestry Inc</v>
      </c>
      <c r="N172" t="str">
        <v>NYSE</v>
      </c>
      <c r="O172" t="str">
        <v>US8760301072</v>
      </c>
      <c r="P172">
        <v>32.270000000000003</v>
      </c>
      <c r="Q172">
        <v>49272</v>
      </c>
      <c r="R172">
        <v>33.450000000000003</v>
      </c>
      <c r="S172" t="str">
        <v>13:05:32.034664704</v>
      </c>
      <c r="T172">
        <v>32.07</v>
      </c>
      <c r="U172" t="str">
        <v>09:30:29.770945792</v>
      </c>
      <c r="V172">
        <v>32.72</v>
      </c>
      <c r="W172">
        <v>343781</v>
      </c>
      <c r="X172">
        <v>3303310</v>
      </c>
      <c r="Y172">
        <v>35900</v>
      </c>
      <c r="Z172">
        <v>3305770</v>
      </c>
      <c r="AA172">
        <v>35953</v>
      </c>
      <c r="AB172">
        <v>2380158</v>
      </c>
      <c r="AC172">
        <v>6240</v>
      </c>
      <c r="AD172">
        <v>2413645</v>
      </c>
      <c r="AE172">
        <v>6283</v>
      </c>
      <c r="AF172">
        <v>1.3902963189999999</v>
      </c>
      <c r="AG172">
        <v>1</v>
      </c>
      <c r="AH172" t="e">
        <v>#N/A</v>
      </c>
      <c r="AI172" t="str">
        <v>None</v>
      </c>
      <c r="AJ172">
        <v>32.869999999999997</v>
      </c>
      <c r="AK172">
        <v>32.869999999999997</v>
      </c>
      <c r="AL172">
        <v>1.6510662008057449E+18</v>
      </c>
    </row>
    <row r="173" spans="8:38" x14ac:dyDescent="0.3">
      <c r="H173" t="str">
        <v>2022-04-28T20:04:56.994Z</v>
      </c>
      <c r="I173" t="str">
        <v>BBG000BY29C7</v>
      </c>
      <c r="J173">
        <v>35035</v>
      </c>
      <c r="K173">
        <v>20220428</v>
      </c>
      <c r="L173" t="str">
        <v>TPR</v>
      </c>
      <c r="M173" t="str">
        <v>Tapestry Inc</v>
      </c>
      <c r="N173" t="str">
        <v>NYSE</v>
      </c>
      <c r="O173" t="str">
        <v>US8760301072</v>
      </c>
      <c r="P173">
        <v>33</v>
      </c>
      <c r="Q173">
        <v>41764</v>
      </c>
      <c r="R173">
        <v>33.67</v>
      </c>
      <c r="S173" t="str">
        <v>14:51:27.427638528</v>
      </c>
      <c r="T173">
        <v>32.28</v>
      </c>
      <c r="U173" t="str">
        <v>11:41:54.434425600</v>
      </c>
      <c r="V173">
        <v>33.4</v>
      </c>
      <c r="W173">
        <v>272107</v>
      </c>
      <c r="X173">
        <v>2462956</v>
      </c>
      <c r="Y173">
        <v>24917</v>
      </c>
      <c r="Z173">
        <v>2466910</v>
      </c>
      <c r="AA173">
        <v>24941</v>
      </c>
      <c r="AB173">
        <v>995604</v>
      </c>
      <c r="AC173">
        <v>5220</v>
      </c>
      <c r="AD173">
        <v>1047923</v>
      </c>
      <c r="AE173">
        <v>5258</v>
      </c>
      <c r="AF173">
        <v>1.3902963189999999</v>
      </c>
      <c r="AG173">
        <v>1</v>
      </c>
      <c r="AH173" t="e">
        <v>#N/A</v>
      </c>
      <c r="AI173" t="str">
        <v>None</v>
      </c>
      <c r="AJ173">
        <v>33.049999999999997</v>
      </c>
      <c r="AK173">
        <v>33.049999999999997</v>
      </c>
      <c r="AL173">
        <v>1.6511526007753413E+18</v>
      </c>
    </row>
    <row r="174" spans="8:38" x14ac:dyDescent="0.3">
      <c r="H174" t="str">
        <v>2022-04-28T20:05:08.141Z</v>
      </c>
      <c r="I174" t="str">
        <v>BBG000BS7KS3</v>
      </c>
      <c r="J174">
        <v>32840</v>
      </c>
      <c r="K174">
        <v>20220428</v>
      </c>
      <c r="L174" t="str">
        <v>TAP</v>
      </c>
      <c r="M174" t="str">
        <v>Molson Coors Beverage Company</v>
      </c>
      <c r="N174" t="str">
        <v>NYSE</v>
      </c>
      <c r="O174" t="str">
        <v>US60871R2094</v>
      </c>
      <c r="P174">
        <v>54.2</v>
      </c>
      <c r="Q174">
        <v>13630</v>
      </c>
      <c r="R174">
        <v>55.21</v>
      </c>
      <c r="S174" t="str">
        <v>15:44:06.339987200</v>
      </c>
      <c r="T174">
        <v>53.75</v>
      </c>
      <c r="U174" t="str">
        <v>09:30:22.043824384</v>
      </c>
      <c r="V174">
        <v>55.1</v>
      </c>
      <c r="W174">
        <v>151446</v>
      </c>
      <c r="X174">
        <v>817204</v>
      </c>
      <c r="Y174">
        <v>11276</v>
      </c>
      <c r="Z174">
        <v>817719</v>
      </c>
      <c r="AA174">
        <v>11288</v>
      </c>
      <c r="AB174">
        <v>539300</v>
      </c>
      <c r="AC174">
        <v>4978</v>
      </c>
      <c r="AD174">
        <v>567922</v>
      </c>
      <c r="AE174">
        <v>5022</v>
      </c>
      <c r="AF174">
        <v>2.7951004842999998</v>
      </c>
      <c r="AG174">
        <v>2</v>
      </c>
      <c r="AH174" t="e">
        <v>#N/A</v>
      </c>
      <c r="AI174" t="str">
        <v>None</v>
      </c>
      <c r="AJ174">
        <v>54.82</v>
      </c>
      <c r="AK174">
        <v>54.82</v>
      </c>
      <c r="AL174">
        <v>1.6511526008870218E+18</v>
      </c>
    </row>
    <row r="175" spans="8:38" x14ac:dyDescent="0.3">
      <c r="H175" t="str">
        <v>2022-04-29T20:04:29.084Z</v>
      </c>
      <c r="I175" t="str">
        <v>BBG000BS7KS3</v>
      </c>
      <c r="J175">
        <v>32840</v>
      </c>
      <c r="K175">
        <v>20220429</v>
      </c>
      <c r="L175" t="str">
        <v>TAP</v>
      </c>
      <c r="M175" t="str">
        <v>Molson Coors Beverage Company</v>
      </c>
      <c r="N175" t="str">
        <v>NYSE</v>
      </c>
      <c r="O175" t="str">
        <v>US60871R2094</v>
      </c>
      <c r="P175">
        <v>55.22</v>
      </c>
      <c r="Q175">
        <v>20362</v>
      </c>
      <c r="R175">
        <v>55.5</v>
      </c>
      <c r="S175" t="str">
        <v>09:33:10.289077248</v>
      </c>
      <c r="T175">
        <v>53.97</v>
      </c>
      <c r="U175" t="str">
        <v>15:55:14.756605184</v>
      </c>
      <c r="V175">
        <v>54.14</v>
      </c>
      <c r="W175">
        <v>493602</v>
      </c>
      <c r="X175">
        <v>1212872</v>
      </c>
      <c r="Y175">
        <v>11987</v>
      </c>
      <c r="Z175">
        <v>1213239</v>
      </c>
      <c r="AA175">
        <v>11992</v>
      </c>
      <c r="AB175">
        <v>262475</v>
      </c>
      <c r="AC175">
        <v>3647</v>
      </c>
      <c r="AD175">
        <v>472919</v>
      </c>
      <c r="AE175">
        <v>3702</v>
      </c>
      <c r="AF175">
        <v>2.7951004842999998</v>
      </c>
      <c r="AG175">
        <v>2</v>
      </c>
      <c r="AH175" t="e">
        <v>#N/A</v>
      </c>
      <c r="AI175" t="str">
        <v>None</v>
      </c>
      <c r="AJ175">
        <v>54.4</v>
      </c>
      <c r="AK175">
        <v>54.37</v>
      </c>
      <c r="AL175">
        <v>1.6512390008594383E+18</v>
      </c>
    </row>
    <row r="176" spans="8:38" x14ac:dyDescent="0.3">
      <c r="H176" t="str">
        <v>2022-04-29T20:04:36.876Z</v>
      </c>
      <c r="I176" t="str">
        <v>BBG000BY29C7</v>
      </c>
      <c r="J176">
        <v>35035</v>
      </c>
      <c r="K176">
        <v>20220429</v>
      </c>
      <c r="L176" t="str">
        <v>TPR</v>
      </c>
      <c r="M176" t="str">
        <v>Tapestry Inc</v>
      </c>
      <c r="N176" t="str">
        <v>NYSE</v>
      </c>
      <c r="O176" t="str">
        <v>US8760301072</v>
      </c>
      <c r="P176">
        <v>33.43</v>
      </c>
      <c r="Q176">
        <v>29214</v>
      </c>
      <c r="R176">
        <v>33.89</v>
      </c>
      <c r="S176" t="str">
        <v>10:03:34.535743488</v>
      </c>
      <c r="T176">
        <v>32.770000000000003</v>
      </c>
      <c r="U176" t="str">
        <v>15:54:40.467595264</v>
      </c>
      <c r="V176">
        <v>32.92</v>
      </c>
      <c r="W176">
        <v>480946</v>
      </c>
      <c r="X176">
        <v>2008576</v>
      </c>
      <c r="Y176">
        <v>19785</v>
      </c>
      <c r="Z176">
        <v>2020636</v>
      </c>
      <c r="AA176">
        <v>19864</v>
      </c>
      <c r="AB176">
        <v>481965</v>
      </c>
      <c r="AC176">
        <v>4434</v>
      </c>
      <c r="AD176">
        <v>584102</v>
      </c>
      <c r="AE176">
        <v>4486</v>
      </c>
      <c r="AF176">
        <v>1.3902963189999999</v>
      </c>
      <c r="AG176">
        <v>1</v>
      </c>
      <c r="AH176" t="e">
        <v>#N/A</v>
      </c>
      <c r="AI176" t="str">
        <v>None</v>
      </c>
      <c r="AJ176">
        <v>33.18</v>
      </c>
      <c r="AK176">
        <v>33.17</v>
      </c>
      <c r="AL176">
        <v>1.6512390007695393E+18</v>
      </c>
    </row>
    <row r="177" spans="8:38" x14ac:dyDescent="0.3">
      <c r="H177" t="str">
        <v>2022-05-02T20:03:59.978Z</v>
      </c>
      <c r="I177" t="str">
        <v>BBG000BS7KS3</v>
      </c>
      <c r="J177">
        <v>32840</v>
      </c>
      <c r="K177">
        <v>20220502</v>
      </c>
      <c r="L177" t="str">
        <v>TAP</v>
      </c>
      <c r="M177" t="str">
        <v>Molson Coors Beverage Company</v>
      </c>
      <c r="N177" t="str">
        <v>NYSE</v>
      </c>
      <c r="O177" t="str">
        <v>US60871R2094</v>
      </c>
      <c r="P177">
        <v>54.52</v>
      </c>
      <c r="Q177">
        <v>20184</v>
      </c>
      <c r="R177">
        <v>54.93</v>
      </c>
      <c r="S177" t="str">
        <v>09:32:27.976467712</v>
      </c>
      <c r="T177">
        <v>53.4</v>
      </c>
      <c r="U177" t="str">
        <v>14:31:25.940896768</v>
      </c>
      <c r="V177">
        <v>54.32</v>
      </c>
      <c r="W177">
        <v>226663</v>
      </c>
      <c r="X177">
        <v>1459759</v>
      </c>
      <c r="Y177">
        <v>19688</v>
      </c>
      <c r="Z177">
        <v>1461059</v>
      </c>
      <c r="AA177">
        <v>19710</v>
      </c>
      <c r="AB177">
        <v>601143</v>
      </c>
      <c r="AC177">
        <v>6126</v>
      </c>
      <c r="AD177">
        <v>641017</v>
      </c>
      <c r="AE177">
        <v>6162</v>
      </c>
      <c r="AF177">
        <v>2.7951004842999998</v>
      </c>
      <c r="AG177">
        <v>2</v>
      </c>
      <c r="AH177" t="e">
        <v>#N/A</v>
      </c>
      <c r="AI177" t="str">
        <v>None</v>
      </c>
      <c r="AJ177">
        <v>54.21</v>
      </c>
      <c r="AK177">
        <v>54.21</v>
      </c>
      <c r="AL177">
        <v>1.6514982008976061E+18</v>
      </c>
    </row>
    <row r="178" spans="8:38" x14ac:dyDescent="0.3">
      <c r="H178" t="str">
        <v>2022-05-02T20:04:02.103Z</v>
      </c>
      <c r="I178" t="str">
        <v>BBG000BY29C7</v>
      </c>
      <c r="J178">
        <v>35035</v>
      </c>
      <c r="K178">
        <v>20220502</v>
      </c>
      <c r="L178" t="str">
        <v>TPR</v>
      </c>
      <c r="M178" t="str">
        <v>Tapestry Inc</v>
      </c>
      <c r="N178" t="str">
        <v>NYSE</v>
      </c>
      <c r="O178" t="str">
        <v>US8760301072</v>
      </c>
      <c r="P178">
        <v>33.01</v>
      </c>
      <c r="Q178">
        <v>29881</v>
      </c>
      <c r="R178">
        <v>33.630000000000003</v>
      </c>
      <c r="S178" t="str">
        <v>15:53:35.050685184</v>
      </c>
      <c r="T178">
        <v>32.53</v>
      </c>
      <c r="U178" t="str">
        <v>14:20:50.127032832</v>
      </c>
      <c r="V178">
        <v>33.6</v>
      </c>
      <c r="W178">
        <v>225574</v>
      </c>
      <c r="X178">
        <v>1797647</v>
      </c>
      <c r="Y178">
        <v>24467</v>
      </c>
      <c r="Z178">
        <v>1799403</v>
      </c>
      <c r="AA178">
        <v>24496</v>
      </c>
      <c r="AB178">
        <v>468209</v>
      </c>
      <c r="AC178">
        <v>4489</v>
      </c>
      <c r="AD178">
        <v>508703</v>
      </c>
      <c r="AE178">
        <v>4524</v>
      </c>
      <c r="AF178">
        <v>1.3902963189999999</v>
      </c>
      <c r="AG178">
        <v>1</v>
      </c>
      <c r="AH178" t="e">
        <v>#N/A</v>
      </c>
      <c r="AI178" t="str">
        <v>None</v>
      </c>
      <c r="AJ178">
        <v>33.19</v>
      </c>
      <c r="AK178">
        <v>33.200000000000003</v>
      </c>
      <c r="AL178">
        <v>1.6514982007929572E+18</v>
      </c>
    </row>
    <row r="179" spans="8:38" x14ac:dyDescent="0.3">
      <c r="H179" t="str">
        <v>2022-05-03T20:03:06.194Z</v>
      </c>
      <c r="I179" t="str">
        <v>BBG000BS7KS3</v>
      </c>
      <c r="J179">
        <v>32840</v>
      </c>
      <c r="K179">
        <v>20220503</v>
      </c>
      <c r="L179" t="str">
        <v>TAP</v>
      </c>
      <c r="M179" t="str">
        <v>Molson Coors Beverage Company</v>
      </c>
      <c r="N179" t="str">
        <v>NYSE</v>
      </c>
      <c r="O179" t="str">
        <v>US60871R2094</v>
      </c>
      <c r="P179">
        <v>54.95</v>
      </c>
      <c r="Q179">
        <v>18706</v>
      </c>
      <c r="R179">
        <v>56.44</v>
      </c>
      <c r="S179" t="str">
        <v>10:59:27.103727616</v>
      </c>
      <c r="T179">
        <v>52.05</v>
      </c>
      <c r="U179" t="str">
        <v>11:54:19.643054336</v>
      </c>
      <c r="V179">
        <v>52.69</v>
      </c>
      <c r="W179">
        <v>231801</v>
      </c>
      <c r="X179">
        <v>1973767</v>
      </c>
      <c r="Y179">
        <v>28456</v>
      </c>
      <c r="Z179">
        <v>1974733</v>
      </c>
      <c r="AA179">
        <v>28495</v>
      </c>
      <c r="AB179">
        <v>1219748</v>
      </c>
      <c r="AC179">
        <v>8637</v>
      </c>
      <c r="AD179">
        <v>1284687</v>
      </c>
      <c r="AE179">
        <v>8684</v>
      </c>
      <c r="AF179">
        <v>2.7951004842999998</v>
      </c>
      <c r="AG179">
        <v>2</v>
      </c>
      <c r="AH179" t="e">
        <v>#N/A</v>
      </c>
      <c r="AI179" t="str">
        <v>None</v>
      </c>
      <c r="AJ179">
        <v>53.81</v>
      </c>
      <c r="AK179">
        <v>53.78</v>
      </c>
      <c r="AL179">
        <v>1.6515846008827681E+18</v>
      </c>
    </row>
    <row r="180" spans="8:38" x14ac:dyDescent="0.3">
      <c r="H180" t="str">
        <v>2022-05-03T20:03:09.882Z</v>
      </c>
      <c r="I180" t="str">
        <v>BBG000BY29C7</v>
      </c>
      <c r="J180">
        <v>35035</v>
      </c>
      <c r="K180">
        <v>20220503</v>
      </c>
      <c r="L180" t="str">
        <v>TPR</v>
      </c>
      <c r="M180" t="str">
        <v>Tapestry Inc</v>
      </c>
      <c r="N180" t="str">
        <v>NYSE</v>
      </c>
      <c r="O180" t="str">
        <v>US8760301072</v>
      </c>
      <c r="P180">
        <v>33.479999999999997</v>
      </c>
      <c r="Q180">
        <v>36449</v>
      </c>
      <c r="R180">
        <v>33.75</v>
      </c>
      <c r="S180" t="str">
        <v>09:34:20.311205376</v>
      </c>
      <c r="T180">
        <v>32.28</v>
      </c>
      <c r="U180" t="str">
        <v>10:50:15.490790144</v>
      </c>
      <c r="V180">
        <v>32.74</v>
      </c>
      <c r="W180">
        <v>414512</v>
      </c>
      <c r="X180">
        <v>3311579</v>
      </c>
      <c r="Y180">
        <v>35127</v>
      </c>
      <c r="Z180">
        <v>3312397</v>
      </c>
      <c r="AA180">
        <v>35147</v>
      </c>
      <c r="AB180">
        <v>820082</v>
      </c>
      <c r="AC180">
        <v>5974</v>
      </c>
      <c r="AD180">
        <v>876116</v>
      </c>
      <c r="AE180">
        <v>6016</v>
      </c>
      <c r="AF180">
        <v>1.3902963189999999</v>
      </c>
      <c r="AG180">
        <v>1</v>
      </c>
      <c r="AH180" t="e">
        <v>#N/A</v>
      </c>
      <c r="AI180" t="str">
        <v>None</v>
      </c>
      <c r="AJ180">
        <v>32.729999999999997</v>
      </c>
      <c r="AK180">
        <v>32.729999999999997</v>
      </c>
      <c r="AL180">
        <v>1.6515846007559616E+18</v>
      </c>
    </row>
    <row r="181" spans="8:38" x14ac:dyDescent="0.3">
      <c r="H181" t="str">
        <v>2022-05-04T20:03:56.963Z</v>
      </c>
      <c r="I181" t="str">
        <v>BBG000BS7KS3</v>
      </c>
      <c r="J181">
        <v>32840</v>
      </c>
      <c r="K181">
        <v>20220504</v>
      </c>
      <c r="L181" t="str">
        <v>TAP</v>
      </c>
      <c r="M181" t="str">
        <v>Molson Coors Beverage Company</v>
      </c>
      <c r="N181" t="str">
        <v>NYSE</v>
      </c>
      <c r="O181" t="str">
        <v>US60871R2094</v>
      </c>
      <c r="P181">
        <v>52.68</v>
      </c>
      <c r="Q181">
        <v>25686</v>
      </c>
      <c r="R181">
        <v>53.42</v>
      </c>
      <c r="S181" t="str">
        <v>15:42:50.541769216</v>
      </c>
      <c r="T181">
        <v>51.23</v>
      </c>
      <c r="U181" t="str">
        <v>11:40:45.536354560</v>
      </c>
      <c r="V181">
        <v>53.24</v>
      </c>
      <c r="W181">
        <v>236294</v>
      </c>
      <c r="X181">
        <v>1701331</v>
      </c>
      <c r="Y181">
        <v>24027</v>
      </c>
      <c r="Z181">
        <v>1701898</v>
      </c>
      <c r="AA181">
        <v>24037</v>
      </c>
      <c r="AB181">
        <v>547859</v>
      </c>
      <c r="AC181">
        <v>6960</v>
      </c>
      <c r="AD181">
        <v>639740</v>
      </c>
      <c r="AE181">
        <v>7018</v>
      </c>
      <c r="AF181">
        <v>2.7951004842999998</v>
      </c>
      <c r="AG181">
        <v>2</v>
      </c>
      <c r="AH181" t="e">
        <v>#N/A</v>
      </c>
      <c r="AI181" t="str">
        <v>None</v>
      </c>
      <c r="AJ181">
        <v>52.39</v>
      </c>
      <c r="AK181">
        <v>52.43</v>
      </c>
      <c r="AL181">
        <v>1.6516710008483622E+18</v>
      </c>
    </row>
    <row r="182" spans="8:38" x14ac:dyDescent="0.3">
      <c r="H182" t="str">
        <v>2022-05-04T20:04:00.528Z</v>
      </c>
      <c r="I182" t="str">
        <v>BBG000BY29C7</v>
      </c>
      <c r="J182">
        <v>35035</v>
      </c>
      <c r="K182">
        <v>20220504</v>
      </c>
      <c r="L182" t="str">
        <v>TPR</v>
      </c>
      <c r="M182" t="str">
        <v>Tapestry Inc</v>
      </c>
      <c r="N182" t="str">
        <v>NYSE</v>
      </c>
      <c r="O182" t="str">
        <v>US8760301072</v>
      </c>
      <c r="P182">
        <v>32.799999999999997</v>
      </c>
      <c r="Q182">
        <v>30260</v>
      </c>
      <c r="R182">
        <v>33.33</v>
      </c>
      <c r="S182" t="str">
        <v>15:59:00.880118016</v>
      </c>
      <c r="T182">
        <v>31.48</v>
      </c>
      <c r="U182" t="str">
        <v>14:35:03.180252672</v>
      </c>
      <c r="V182">
        <v>33.25</v>
      </c>
      <c r="W182">
        <v>269073</v>
      </c>
      <c r="X182">
        <v>2533758</v>
      </c>
      <c r="Y182">
        <v>30906</v>
      </c>
      <c r="Z182">
        <v>2534170</v>
      </c>
      <c r="AA182">
        <v>30916</v>
      </c>
      <c r="AB182">
        <v>894111</v>
      </c>
      <c r="AC182">
        <v>6189</v>
      </c>
      <c r="AD182">
        <v>945032</v>
      </c>
      <c r="AE182">
        <v>6234</v>
      </c>
      <c r="AF182">
        <v>1.3902963189999999</v>
      </c>
      <c r="AG182">
        <v>1</v>
      </c>
      <c r="AH182" t="e">
        <v>#N/A</v>
      </c>
      <c r="AI182" t="str">
        <v>None</v>
      </c>
      <c r="AJ182">
        <v>32.44</v>
      </c>
      <c r="AK182">
        <v>32.450000000000003</v>
      </c>
      <c r="AL182">
        <v>1.6516710007529101E+18</v>
      </c>
    </row>
    <row r="183" spans="8:38" x14ac:dyDescent="0.3">
      <c r="H183" t="str">
        <v>2022-05-05T20:04:14.488Z</v>
      </c>
      <c r="I183" t="str">
        <v>BBG000BS7KS3</v>
      </c>
      <c r="J183">
        <v>32840</v>
      </c>
      <c r="K183">
        <v>20220505</v>
      </c>
      <c r="L183" t="str">
        <v>TAP</v>
      </c>
      <c r="M183" t="str">
        <v>Molson Coors Beverage Company</v>
      </c>
      <c r="N183" t="str">
        <v>NYSE</v>
      </c>
      <c r="O183" t="str">
        <v>US60871R2094</v>
      </c>
      <c r="P183">
        <v>52.76</v>
      </c>
      <c r="Q183">
        <v>16633</v>
      </c>
      <c r="R183">
        <v>53.4</v>
      </c>
      <c r="S183" t="str">
        <v>09:45:51.083919360</v>
      </c>
      <c r="T183">
        <v>52.36</v>
      </c>
      <c r="U183" t="str">
        <v>12:02:01.184889856</v>
      </c>
      <c r="V183">
        <v>52.64</v>
      </c>
      <c r="W183">
        <v>242970</v>
      </c>
      <c r="X183">
        <v>1074554</v>
      </c>
      <c r="Y183">
        <v>15898</v>
      </c>
      <c r="Z183">
        <v>1074759</v>
      </c>
      <c r="AA183">
        <v>15907</v>
      </c>
      <c r="AB183">
        <v>262271</v>
      </c>
      <c r="AC183">
        <v>3514</v>
      </c>
      <c r="AD183">
        <v>320925</v>
      </c>
      <c r="AE183">
        <v>3541</v>
      </c>
      <c r="AF183">
        <v>2.7951004842999998</v>
      </c>
      <c r="AG183">
        <v>2</v>
      </c>
      <c r="AH183" t="e">
        <v>#N/A</v>
      </c>
      <c r="AI183" t="str">
        <v>None</v>
      </c>
      <c r="AJ183">
        <v>52.75</v>
      </c>
      <c r="AK183">
        <v>52.74</v>
      </c>
      <c r="AL183">
        <v>1.6517574008502436E+18</v>
      </c>
    </row>
    <row r="184" spans="8:38" x14ac:dyDescent="0.3">
      <c r="H184" t="str">
        <v>2022-05-05T20:04:19.888Z</v>
      </c>
      <c r="I184" t="str">
        <v>BBG000BY29C7</v>
      </c>
      <c r="J184">
        <v>35035</v>
      </c>
      <c r="K184">
        <v>20220505</v>
      </c>
      <c r="L184" t="str">
        <v>TPR</v>
      </c>
      <c r="M184" t="str">
        <v>Tapestry Inc</v>
      </c>
      <c r="N184" t="str">
        <v>NYSE</v>
      </c>
      <c r="O184" t="str">
        <v>US8760301072</v>
      </c>
      <c r="P184">
        <v>32.79</v>
      </c>
      <c r="Q184">
        <v>35232</v>
      </c>
      <c r="R184">
        <v>32.869999999999997</v>
      </c>
      <c r="S184" t="str">
        <v>09:30:02.946790144</v>
      </c>
      <c r="T184">
        <v>30.99</v>
      </c>
      <c r="U184" t="str">
        <v>14:29:51.335225856</v>
      </c>
      <c r="V184">
        <v>31.48</v>
      </c>
      <c r="W184">
        <v>387352</v>
      </c>
      <c r="X184">
        <v>3237968</v>
      </c>
      <c r="Y184">
        <v>35837</v>
      </c>
      <c r="Z184">
        <v>3247522</v>
      </c>
      <c r="AA184">
        <v>35883</v>
      </c>
      <c r="AB184">
        <v>808461</v>
      </c>
      <c r="AC184">
        <v>6303</v>
      </c>
      <c r="AD184">
        <v>833083</v>
      </c>
      <c r="AE184">
        <v>6323</v>
      </c>
      <c r="AF184">
        <v>1.3902963189999999</v>
      </c>
      <c r="AG184">
        <v>1</v>
      </c>
      <c r="AH184" t="e">
        <v>#N/A</v>
      </c>
      <c r="AI184" t="str">
        <v>None</v>
      </c>
      <c r="AJ184">
        <v>31.42</v>
      </c>
      <c r="AK184">
        <v>31.42</v>
      </c>
      <c r="AL184">
        <v>1.651757400749569E+18</v>
      </c>
    </row>
    <row r="185" spans="8:38" x14ac:dyDescent="0.3">
      <c r="H185" t="str">
        <v>2022-05-06T20:04:17.057Z</v>
      </c>
      <c r="I185" t="str">
        <v>BBG000BS7KS3</v>
      </c>
      <c r="J185">
        <v>32840</v>
      </c>
      <c r="K185">
        <v>20220506</v>
      </c>
      <c r="L185" t="str">
        <v>TAP</v>
      </c>
      <c r="M185" t="str">
        <v>Molson Coors Beverage Company</v>
      </c>
      <c r="N185" t="str">
        <v>NYSE</v>
      </c>
      <c r="O185" t="str">
        <v>US60871R2094</v>
      </c>
      <c r="P185">
        <v>52.7</v>
      </c>
      <c r="Q185">
        <v>15116</v>
      </c>
      <c r="R185">
        <v>53.48</v>
      </c>
      <c r="S185" t="str">
        <v>13:14:11.095662592</v>
      </c>
      <c r="T185">
        <v>52.44</v>
      </c>
      <c r="U185" t="str">
        <v>10:04:56.500455168</v>
      </c>
      <c r="V185">
        <v>53.14</v>
      </c>
      <c r="W185">
        <v>131462</v>
      </c>
      <c r="X185">
        <v>687141</v>
      </c>
      <c r="Y185">
        <v>13241</v>
      </c>
      <c r="Z185">
        <v>687376</v>
      </c>
      <c r="AA185">
        <v>13244</v>
      </c>
      <c r="AB185">
        <v>290779</v>
      </c>
      <c r="AC185">
        <v>4293</v>
      </c>
      <c r="AD185">
        <v>321839</v>
      </c>
      <c r="AE185">
        <v>4344</v>
      </c>
      <c r="AF185">
        <v>2.7951004842999998</v>
      </c>
      <c r="AG185">
        <v>2</v>
      </c>
      <c r="AH185" t="e">
        <v>#N/A</v>
      </c>
      <c r="AI185" t="str">
        <v>None</v>
      </c>
      <c r="AJ185">
        <v>53.09</v>
      </c>
      <c r="AK185">
        <v>53.09</v>
      </c>
      <c r="AL185">
        <v>1.6518438008811886E+18</v>
      </c>
    </row>
    <row r="186" spans="8:38" x14ac:dyDescent="0.3">
      <c r="H186" t="str">
        <v>2022-05-06T20:04:19.144Z</v>
      </c>
      <c r="I186" t="str">
        <v>BBG000BY29C7</v>
      </c>
      <c r="J186">
        <v>35035</v>
      </c>
      <c r="K186">
        <v>20220506</v>
      </c>
      <c r="L186" t="str">
        <v>TPR</v>
      </c>
      <c r="M186" t="str">
        <v>Tapestry Inc</v>
      </c>
      <c r="N186" t="str">
        <v>NYSE</v>
      </c>
      <c r="O186" t="str">
        <v>US8760301072</v>
      </c>
      <c r="P186">
        <v>30.98</v>
      </c>
      <c r="Q186">
        <v>35443</v>
      </c>
      <c r="R186">
        <v>31.18</v>
      </c>
      <c r="S186" t="str">
        <v>12:57:04.252126464</v>
      </c>
      <c r="T186">
        <v>29.6</v>
      </c>
      <c r="U186" t="str">
        <v>09:57:50.549286912</v>
      </c>
      <c r="V186">
        <v>30.34</v>
      </c>
      <c r="W186">
        <v>293114</v>
      </c>
      <c r="X186">
        <v>3073249</v>
      </c>
      <c r="Y186">
        <v>33992</v>
      </c>
      <c r="Z186">
        <v>3073571</v>
      </c>
      <c r="AA186">
        <v>34002</v>
      </c>
      <c r="AB186">
        <v>973589</v>
      </c>
      <c r="AC186">
        <v>7461</v>
      </c>
      <c r="AD186">
        <v>1053255</v>
      </c>
      <c r="AE186">
        <v>7498</v>
      </c>
      <c r="AF186">
        <v>1.3902963189999999</v>
      </c>
      <c r="AG186">
        <v>1</v>
      </c>
      <c r="AH186" t="e">
        <v>#N/A</v>
      </c>
      <c r="AI186" t="str">
        <v>None</v>
      </c>
      <c r="AJ186">
        <v>30.4</v>
      </c>
      <c r="AK186">
        <v>30.4</v>
      </c>
      <c r="AL186">
        <v>1.6518438007372465E+18</v>
      </c>
    </row>
    <row r="187" spans="8:38" x14ac:dyDescent="0.3">
      <c r="H187" t="str">
        <v>2022-05-09T20:03:40.943Z</v>
      </c>
      <c r="I187" t="str">
        <v>BBG000BS7KS3</v>
      </c>
      <c r="J187">
        <v>32840</v>
      </c>
      <c r="K187">
        <v>20220509</v>
      </c>
      <c r="L187" t="str">
        <v>TAP</v>
      </c>
      <c r="M187" t="str">
        <v>Molson Coors Beverage Company</v>
      </c>
      <c r="N187" t="str">
        <v>NYSE</v>
      </c>
      <c r="O187" t="str">
        <v>US60871R2094</v>
      </c>
      <c r="P187">
        <v>52.88</v>
      </c>
      <c r="Q187">
        <v>16980</v>
      </c>
      <c r="R187">
        <v>54.11</v>
      </c>
      <c r="S187" t="str">
        <v>15:13:51.416023296</v>
      </c>
      <c r="T187">
        <v>52.37</v>
      </c>
      <c r="U187" t="str">
        <v>09:51:01.041614592</v>
      </c>
      <c r="V187">
        <v>53.67</v>
      </c>
      <c r="W187">
        <v>153392</v>
      </c>
      <c r="X187">
        <v>1271028</v>
      </c>
      <c r="Y187">
        <v>20388</v>
      </c>
      <c r="Z187">
        <v>1271554</v>
      </c>
      <c r="AA187">
        <v>20405</v>
      </c>
      <c r="AB187">
        <v>460465</v>
      </c>
      <c r="AC187">
        <v>4852</v>
      </c>
      <c r="AD187">
        <v>492738</v>
      </c>
      <c r="AE187">
        <v>4896</v>
      </c>
      <c r="AF187">
        <v>2.7951004842999998</v>
      </c>
      <c r="AG187">
        <v>2</v>
      </c>
      <c r="AH187" t="e">
        <v>#N/A</v>
      </c>
      <c r="AI187" t="str">
        <v>None</v>
      </c>
      <c r="AJ187">
        <v>53.37</v>
      </c>
      <c r="AK187">
        <v>53.38</v>
      </c>
      <c r="AL187">
        <v>1.6521030009835407E+18</v>
      </c>
    </row>
    <row r="188" spans="8:38" x14ac:dyDescent="0.3">
      <c r="H188" t="str">
        <v>2022-05-09T20:03:44.844Z</v>
      </c>
      <c r="I188" t="str">
        <v>BBG000BY29C7</v>
      </c>
      <c r="J188">
        <v>35035</v>
      </c>
      <c r="K188">
        <v>20220509</v>
      </c>
      <c r="L188" t="str">
        <v>TPR</v>
      </c>
      <c r="M188" t="str">
        <v>Tapestry Inc</v>
      </c>
      <c r="N188" t="str">
        <v>NYSE</v>
      </c>
      <c r="O188" t="str">
        <v>US8760301072</v>
      </c>
      <c r="P188">
        <v>29.8</v>
      </c>
      <c r="Q188">
        <v>44195</v>
      </c>
      <c r="R188">
        <v>30.45</v>
      </c>
      <c r="S188" t="str">
        <v>09:55:16.794415104</v>
      </c>
      <c r="T188">
        <v>28.68</v>
      </c>
      <c r="U188" t="str">
        <v>15:52:06.467936000</v>
      </c>
      <c r="V188">
        <v>28.84</v>
      </c>
      <c r="W188">
        <v>559045</v>
      </c>
      <c r="X188">
        <v>5649982</v>
      </c>
      <c r="Y188">
        <v>55524</v>
      </c>
      <c r="Z188">
        <v>5665919</v>
      </c>
      <c r="AA188">
        <v>55652</v>
      </c>
      <c r="AB188">
        <v>2297362</v>
      </c>
      <c r="AC188">
        <v>12793</v>
      </c>
      <c r="AD188">
        <v>2386412</v>
      </c>
      <c r="AE188">
        <v>12838</v>
      </c>
      <c r="AF188">
        <v>1.3902963189999999</v>
      </c>
      <c r="AG188">
        <v>1</v>
      </c>
      <c r="AH188" t="e">
        <v>#N/A</v>
      </c>
      <c r="AI188" t="str">
        <v>None</v>
      </c>
      <c r="AJ188">
        <v>29.23</v>
      </c>
      <c r="AK188">
        <v>29.23</v>
      </c>
      <c r="AL188">
        <v>1.6521030008488653E+18</v>
      </c>
    </row>
    <row r="189" spans="8:38" x14ac:dyDescent="0.3">
      <c r="H189" t="str">
        <v>2022-05-10T20:03:12.769Z</v>
      </c>
      <c r="I189" t="str">
        <v>BBG000BS7KS3</v>
      </c>
      <c r="J189">
        <v>32840</v>
      </c>
      <c r="K189">
        <v>20220510</v>
      </c>
      <c r="L189" t="str">
        <v>TAP</v>
      </c>
      <c r="M189" t="str">
        <v>Molson Coors Beverage Company</v>
      </c>
      <c r="N189" t="str">
        <v>NYSE</v>
      </c>
      <c r="O189" t="str">
        <v>US60871R2094</v>
      </c>
      <c r="P189">
        <v>53.82</v>
      </c>
      <c r="Q189">
        <v>16288</v>
      </c>
      <c r="R189">
        <v>54.86</v>
      </c>
      <c r="S189" t="str">
        <v>15:59:21.255857408</v>
      </c>
      <c r="T189">
        <v>53.66</v>
      </c>
      <c r="U189" t="str">
        <v>13:17:26.448269312</v>
      </c>
      <c r="V189">
        <v>54.84</v>
      </c>
      <c r="W189">
        <v>192178</v>
      </c>
      <c r="X189">
        <v>1317243</v>
      </c>
      <c r="Y189">
        <v>19774</v>
      </c>
      <c r="Z189">
        <v>1317735</v>
      </c>
      <c r="AA189">
        <v>19786</v>
      </c>
      <c r="AB189">
        <v>462408</v>
      </c>
      <c r="AC189">
        <v>4632</v>
      </c>
      <c r="AD189">
        <v>531901</v>
      </c>
      <c r="AE189">
        <v>4678</v>
      </c>
      <c r="AF189">
        <v>2.7951004842999998</v>
      </c>
      <c r="AG189">
        <v>2</v>
      </c>
      <c r="AH189" t="e">
        <v>#N/A</v>
      </c>
      <c r="AI189" t="str">
        <v>None</v>
      </c>
      <c r="AJ189">
        <v>54.38</v>
      </c>
      <c r="AK189">
        <v>54.4</v>
      </c>
      <c r="AL189">
        <v>1.6521894010957338E+18</v>
      </c>
    </row>
    <row r="190" spans="8:38" x14ac:dyDescent="0.3">
      <c r="H190" t="str">
        <v>2022-05-10T20:03:17.595Z</v>
      </c>
      <c r="I190" t="str">
        <v>BBG000BY29C7</v>
      </c>
      <c r="J190">
        <v>35035</v>
      </c>
      <c r="K190">
        <v>20220510</v>
      </c>
      <c r="L190" t="str">
        <v>TPR</v>
      </c>
      <c r="M190" t="str">
        <v>Tapestry Inc</v>
      </c>
      <c r="N190" t="str">
        <v>NYSE</v>
      </c>
      <c r="O190" t="str">
        <v>US8760301072</v>
      </c>
      <c r="P190">
        <v>29.25</v>
      </c>
      <c r="Q190">
        <v>49038</v>
      </c>
      <c r="R190">
        <v>29.3</v>
      </c>
      <c r="S190" t="str">
        <v>09:30:37.145484544</v>
      </c>
      <c r="T190">
        <v>27.69</v>
      </c>
      <c r="U190" t="str">
        <v>12:33:11.418462720</v>
      </c>
      <c r="V190">
        <v>28.29</v>
      </c>
      <c r="W190">
        <v>611285</v>
      </c>
      <c r="X190">
        <v>5294710</v>
      </c>
      <c r="Y190">
        <v>58077</v>
      </c>
      <c r="Z190">
        <v>5295402</v>
      </c>
      <c r="AA190">
        <v>58121</v>
      </c>
      <c r="AB190">
        <v>1750808</v>
      </c>
      <c r="AC190">
        <v>14590</v>
      </c>
      <c r="AD190">
        <v>1879201</v>
      </c>
      <c r="AE190">
        <v>14642</v>
      </c>
      <c r="AF190">
        <v>1.3902963189999999</v>
      </c>
      <c r="AG190">
        <v>1</v>
      </c>
      <c r="AH190" t="e">
        <v>#N/A</v>
      </c>
      <c r="AI190" t="str">
        <v>None</v>
      </c>
      <c r="AJ190">
        <v>28.29</v>
      </c>
      <c r="AK190">
        <v>28.29</v>
      </c>
      <c r="AL190">
        <v>1.6521894007277937E+18</v>
      </c>
    </row>
    <row r="191" spans="8:38" x14ac:dyDescent="0.3">
      <c r="H191" t="str">
        <v>2022-05-11T20:04:40.566Z</v>
      </c>
      <c r="I191" t="str">
        <v>BBG000BS7KS3</v>
      </c>
      <c r="J191">
        <v>32840</v>
      </c>
      <c r="K191">
        <v>20220511</v>
      </c>
      <c r="L191" t="str">
        <v>TAP</v>
      </c>
      <c r="M191" t="str">
        <v>Molson Coors Beverage Company</v>
      </c>
      <c r="N191" t="str">
        <v>NYSE</v>
      </c>
      <c r="O191" t="str">
        <v>US60871R2094</v>
      </c>
      <c r="P191">
        <v>55.21</v>
      </c>
      <c r="Q191">
        <v>13319</v>
      </c>
      <c r="R191">
        <v>56.96</v>
      </c>
      <c r="S191" t="str">
        <v>11:43:13.009033728</v>
      </c>
      <c r="T191">
        <v>55.27</v>
      </c>
      <c r="U191" t="str">
        <v>09:30:02.577231872</v>
      </c>
      <c r="V191">
        <v>55.82</v>
      </c>
      <c r="W191">
        <v>185626</v>
      </c>
      <c r="X191">
        <v>1426524</v>
      </c>
      <c r="Y191">
        <v>20718</v>
      </c>
      <c r="Z191">
        <v>1428879</v>
      </c>
      <c r="AA191">
        <v>20736</v>
      </c>
      <c r="AB191">
        <v>623216</v>
      </c>
      <c r="AC191">
        <v>6221</v>
      </c>
      <c r="AD191">
        <v>640041</v>
      </c>
      <c r="AE191">
        <v>6282</v>
      </c>
      <c r="AF191">
        <v>2.7951004842999998</v>
      </c>
      <c r="AG191">
        <v>2</v>
      </c>
      <c r="AH191" t="e">
        <v>#N/A</v>
      </c>
      <c r="AI191" t="str">
        <v>None</v>
      </c>
      <c r="AJ191">
        <v>56.13</v>
      </c>
      <c r="AK191">
        <v>56.12</v>
      </c>
      <c r="AL191">
        <v>1.6522758010848466E+18</v>
      </c>
    </row>
    <row r="192" spans="8:38" x14ac:dyDescent="0.3">
      <c r="H192" t="str">
        <v>2022-05-11T20:04:44.812Z</v>
      </c>
      <c r="I192" t="str">
        <v>BBG000BY29C7</v>
      </c>
      <c r="J192">
        <v>35035</v>
      </c>
      <c r="K192">
        <v>20220511</v>
      </c>
      <c r="L192" t="str">
        <v>TPR</v>
      </c>
      <c r="M192" t="str">
        <v>Tapestry Inc</v>
      </c>
      <c r="N192" t="str">
        <v>NYSE</v>
      </c>
      <c r="O192" t="str">
        <v>US8760301072</v>
      </c>
      <c r="P192">
        <v>28.51</v>
      </c>
      <c r="Q192">
        <v>36851</v>
      </c>
      <c r="R192">
        <v>28.53</v>
      </c>
      <c r="S192" t="str">
        <v>09:31:42.095415040</v>
      </c>
      <c r="T192">
        <v>26.39</v>
      </c>
      <c r="U192" t="str">
        <v>15:50:00.174520832</v>
      </c>
      <c r="V192">
        <v>26.52</v>
      </c>
      <c r="W192">
        <v>720802</v>
      </c>
      <c r="X192">
        <v>5763269</v>
      </c>
      <c r="Y192">
        <v>57930</v>
      </c>
      <c r="Z192">
        <v>5774710</v>
      </c>
      <c r="AA192">
        <v>58112</v>
      </c>
      <c r="AB192">
        <v>2182407</v>
      </c>
      <c r="AC192">
        <v>13040</v>
      </c>
      <c r="AD192">
        <v>2247877</v>
      </c>
      <c r="AE192">
        <v>13090</v>
      </c>
      <c r="AF192">
        <v>1.3902963189999999</v>
      </c>
      <c r="AG192">
        <v>1</v>
      </c>
      <c r="AH192" t="e">
        <v>#N/A</v>
      </c>
      <c r="AI192" t="str">
        <v>None</v>
      </c>
      <c r="AJ192">
        <v>27.07</v>
      </c>
      <c r="AK192">
        <v>27.07</v>
      </c>
      <c r="AL192">
        <v>1.6522758007917645E+18</v>
      </c>
    </row>
    <row r="193" spans="8:38" x14ac:dyDescent="0.3">
      <c r="H193" t="str">
        <v>2022-05-12T20:04:50.118Z</v>
      </c>
      <c r="I193" t="str">
        <v>BBG000BS7KS3</v>
      </c>
      <c r="J193">
        <v>32840</v>
      </c>
      <c r="K193">
        <v>20220512</v>
      </c>
      <c r="L193" t="str">
        <v>TAP</v>
      </c>
      <c r="M193" t="str">
        <v>Molson Coors Beverage Company</v>
      </c>
      <c r="N193" t="str">
        <v>NYSE</v>
      </c>
      <c r="O193" t="str">
        <v>US60871R2094</v>
      </c>
      <c r="P193">
        <v>55.87</v>
      </c>
      <c r="Q193">
        <v>21947</v>
      </c>
      <c r="R193">
        <v>56.28</v>
      </c>
      <c r="S193" t="str">
        <v>09:40:52.074733824</v>
      </c>
      <c r="T193">
        <v>54.67</v>
      </c>
      <c r="U193" t="str">
        <v>13:38:01.077654784</v>
      </c>
      <c r="V193">
        <v>55.57</v>
      </c>
      <c r="W193">
        <v>203619</v>
      </c>
      <c r="X193">
        <v>1276632</v>
      </c>
      <c r="Y193">
        <v>18359</v>
      </c>
      <c r="Z193">
        <v>1292167</v>
      </c>
      <c r="AA193">
        <v>18519</v>
      </c>
      <c r="AB193">
        <v>749156</v>
      </c>
      <c r="AC193">
        <v>6650</v>
      </c>
      <c r="AD193">
        <v>775257</v>
      </c>
      <c r="AE193">
        <v>6714</v>
      </c>
      <c r="AF193">
        <v>2.7951004842999998</v>
      </c>
      <c r="AG193">
        <v>2</v>
      </c>
      <c r="AH193" t="e">
        <v>#N/A</v>
      </c>
      <c r="AI193" t="str">
        <v>None</v>
      </c>
      <c r="AJ193">
        <v>55.32</v>
      </c>
      <c r="AK193">
        <v>55.33</v>
      </c>
      <c r="AL193">
        <v>1.6523622010581005E+18</v>
      </c>
    </row>
    <row r="194" spans="8:38" x14ac:dyDescent="0.3">
      <c r="H194" t="str">
        <v>2022-05-12T20:04:53.965Z</v>
      </c>
      <c r="I194" t="str">
        <v>BBG000BY29C7</v>
      </c>
      <c r="J194">
        <v>35035</v>
      </c>
      <c r="K194">
        <v>20220512</v>
      </c>
      <c r="L194" t="str">
        <v>TPR</v>
      </c>
      <c r="M194" t="str">
        <v>Tapestry Inc</v>
      </c>
      <c r="N194" t="str">
        <v>NYSE</v>
      </c>
      <c r="O194" t="str">
        <v>US8760301072</v>
      </c>
      <c r="P194">
        <v>28.27</v>
      </c>
      <c r="Q194">
        <v>90519</v>
      </c>
      <c r="R194">
        <v>31.55</v>
      </c>
      <c r="S194" t="str">
        <v>11:12:02.840345856</v>
      </c>
      <c r="T194">
        <v>28.1</v>
      </c>
      <c r="U194" t="str">
        <v>09:30:31.183677184</v>
      </c>
      <c r="V194">
        <v>30.63</v>
      </c>
      <c r="W194">
        <v>500604</v>
      </c>
      <c r="X194">
        <v>6976731</v>
      </c>
      <c r="Y194">
        <v>73677</v>
      </c>
      <c r="Z194">
        <v>7140064</v>
      </c>
      <c r="AA194">
        <v>74804</v>
      </c>
      <c r="AB194">
        <v>4618632</v>
      </c>
      <c r="AC194">
        <v>21251</v>
      </c>
      <c r="AD194">
        <v>4778115</v>
      </c>
      <c r="AE194">
        <v>21403</v>
      </c>
      <c r="AF194">
        <v>1.3902963189999999</v>
      </c>
      <c r="AG194">
        <v>1</v>
      </c>
      <c r="AH194" t="e">
        <v>#N/A</v>
      </c>
      <c r="AI194" t="str">
        <v>None</v>
      </c>
      <c r="AJ194">
        <v>30.2</v>
      </c>
      <c r="AK194">
        <v>30.14</v>
      </c>
      <c r="AL194">
        <v>1.6523622311381786E+18</v>
      </c>
    </row>
    <row r="195" spans="8:38" x14ac:dyDescent="0.3">
      <c r="H195" t="str">
        <v>2022-05-13T20:03:08.208Z</v>
      </c>
      <c r="I195" t="str">
        <v>BBG000BY29C7</v>
      </c>
      <c r="J195">
        <v>35035</v>
      </c>
      <c r="K195">
        <v>20220513</v>
      </c>
      <c r="L195" t="str">
        <v>TPR</v>
      </c>
      <c r="M195" t="str">
        <v>Tapestry Inc</v>
      </c>
      <c r="N195" t="str">
        <v>NYSE</v>
      </c>
      <c r="O195" t="str">
        <v>US8760301072</v>
      </c>
      <c r="P195">
        <v>30.47</v>
      </c>
      <c r="Q195">
        <v>100920</v>
      </c>
      <c r="R195">
        <v>32.18</v>
      </c>
      <c r="S195" t="str">
        <v>10:35:45.362617856</v>
      </c>
      <c r="T195">
        <v>30.33</v>
      </c>
      <c r="U195" t="str">
        <v>09:30:56.004919808</v>
      </c>
      <c r="V195">
        <v>31.51</v>
      </c>
      <c r="W195">
        <v>623997</v>
      </c>
      <c r="X195">
        <v>4176067</v>
      </c>
      <c r="Y195">
        <v>46505</v>
      </c>
      <c r="Z195">
        <v>4205387</v>
      </c>
      <c r="AA195">
        <v>46620</v>
      </c>
      <c r="AB195">
        <v>1875451</v>
      </c>
      <c r="AC195">
        <v>12198</v>
      </c>
      <c r="AD195">
        <v>1955902</v>
      </c>
      <c r="AE195">
        <v>12255</v>
      </c>
      <c r="AF195">
        <v>1.3902963189999999</v>
      </c>
      <c r="AG195">
        <v>1</v>
      </c>
      <c r="AH195" t="e">
        <v>#N/A</v>
      </c>
      <c r="AI195" t="str">
        <v>None</v>
      </c>
      <c r="AJ195">
        <v>31.62</v>
      </c>
      <c r="AK195">
        <v>31.62</v>
      </c>
      <c r="AL195">
        <v>1.6524487405199629E+18</v>
      </c>
    </row>
    <row r="196" spans="8:38" x14ac:dyDescent="0.3">
      <c r="H196" t="str">
        <v>2022-05-13T20:03:57.910Z</v>
      </c>
      <c r="I196" t="str">
        <v>BBG000BS7KS3</v>
      </c>
      <c r="J196">
        <v>32840</v>
      </c>
      <c r="K196">
        <v>20220513</v>
      </c>
      <c r="L196" t="str">
        <v>TAP</v>
      </c>
      <c r="M196" t="str">
        <v>Molson Coors Beverage Company</v>
      </c>
      <c r="N196" t="str">
        <v>NYSE</v>
      </c>
      <c r="O196" t="str">
        <v>US60871R2094</v>
      </c>
      <c r="P196">
        <v>56.07</v>
      </c>
      <c r="Q196">
        <v>24642</v>
      </c>
      <c r="R196">
        <v>56.46</v>
      </c>
      <c r="S196" t="str">
        <v>09:40:45.160614144</v>
      </c>
      <c r="T196">
        <v>55.55</v>
      </c>
      <c r="U196" t="str">
        <v>09:52:35.228292864</v>
      </c>
      <c r="V196">
        <v>55.93</v>
      </c>
      <c r="W196">
        <v>238023</v>
      </c>
      <c r="X196">
        <v>815762</v>
      </c>
      <c r="Y196">
        <v>11473</v>
      </c>
      <c r="Z196">
        <v>816658</v>
      </c>
      <c r="AA196">
        <v>11496</v>
      </c>
      <c r="AB196">
        <v>416133</v>
      </c>
      <c r="AC196">
        <v>4859</v>
      </c>
      <c r="AD196">
        <v>496413</v>
      </c>
      <c r="AE196">
        <v>4916</v>
      </c>
      <c r="AF196">
        <v>2.7951004842999998</v>
      </c>
      <c r="AG196">
        <v>2</v>
      </c>
      <c r="AH196" t="e">
        <v>#N/A</v>
      </c>
      <c r="AI196" t="str">
        <v>None</v>
      </c>
      <c r="AJ196">
        <v>55.95</v>
      </c>
      <c r="AK196">
        <v>55.95</v>
      </c>
      <c r="AL196">
        <v>1.6524486008539479E+18</v>
      </c>
    </row>
    <row r="197" spans="8:38" x14ac:dyDescent="0.3">
      <c r="H197" t="str">
        <v>2022-05-16T20:04:04.203Z</v>
      </c>
      <c r="I197" t="str">
        <v>BBG000BS7KS3</v>
      </c>
      <c r="J197">
        <v>32840</v>
      </c>
      <c r="K197">
        <v>20220516</v>
      </c>
      <c r="L197" t="str">
        <v>TAP</v>
      </c>
      <c r="M197" t="str">
        <v>Molson Coors Beverage Company</v>
      </c>
      <c r="N197" t="str">
        <v>NYSE</v>
      </c>
      <c r="O197" t="str">
        <v>US60871R2094</v>
      </c>
      <c r="P197">
        <v>55.89</v>
      </c>
      <c r="Q197">
        <v>16247</v>
      </c>
      <c r="R197">
        <v>56.9</v>
      </c>
      <c r="S197" t="str">
        <v>15:02:25.073040896</v>
      </c>
      <c r="T197">
        <v>55.7</v>
      </c>
      <c r="U197" t="str">
        <v>09:32:43.901095680</v>
      </c>
      <c r="V197">
        <v>56.76</v>
      </c>
      <c r="W197">
        <v>99080</v>
      </c>
      <c r="X197">
        <v>612280</v>
      </c>
      <c r="Y197">
        <v>12546</v>
      </c>
      <c r="Z197">
        <v>612455</v>
      </c>
      <c r="AA197">
        <v>12559</v>
      </c>
      <c r="AB197">
        <v>265569</v>
      </c>
      <c r="AC197">
        <v>4206</v>
      </c>
      <c r="AD197">
        <v>327747</v>
      </c>
      <c r="AE197">
        <v>4245</v>
      </c>
      <c r="AF197">
        <v>2.7951004842999998</v>
      </c>
      <c r="AG197">
        <v>2</v>
      </c>
      <c r="AH197" t="e">
        <v>#N/A</v>
      </c>
      <c r="AI197" t="str">
        <v>None</v>
      </c>
      <c r="AJ197">
        <v>56.43</v>
      </c>
      <c r="AK197">
        <v>56.45</v>
      </c>
      <c r="AL197">
        <v>1.6527078010225393E+18</v>
      </c>
    </row>
    <row r="198" spans="8:38" x14ac:dyDescent="0.3">
      <c r="H198" t="str">
        <v>2022-05-16T20:04:08.321Z</v>
      </c>
      <c r="I198" t="str">
        <v>BBG000BY29C7</v>
      </c>
      <c r="J198">
        <v>35035</v>
      </c>
      <c r="K198">
        <v>20220516</v>
      </c>
      <c r="L198" t="str">
        <v>TPR</v>
      </c>
      <c r="M198" t="str">
        <v>Tapestry Inc</v>
      </c>
      <c r="N198" t="str">
        <v>NYSE</v>
      </c>
      <c r="O198" t="str">
        <v>US8760301072</v>
      </c>
      <c r="P198">
        <v>31.26</v>
      </c>
      <c r="Q198">
        <v>38486</v>
      </c>
      <c r="R198">
        <v>32.64</v>
      </c>
      <c r="S198" t="str">
        <v>14:06:02.924479488</v>
      </c>
      <c r="T198">
        <v>31.25</v>
      </c>
      <c r="U198" t="str">
        <v>09:30:01.294922240</v>
      </c>
      <c r="V198">
        <v>32.03</v>
      </c>
      <c r="W198">
        <v>473093</v>
      </c>
      <c r="X198">
        <v>4351218</v>
      </c>
      <c r="Y198">
        <v>46282</v>
      </c>
      <c r="Z198">
        <v>4357206</v>
      </c>
      <c r="AA198">
        <v>46332</v>
      </c>
      <c r="AB198">
        <v>1532387</v>
      </c>
      <c r="AC198">
        <v>12093</v>
      </c>
      <c r="AD198">
        <v>1906293</v>
      </c>
      <c r="AE198">
        <v>12134</v>
      </c>
      <c r="AF198">
        <v>1.3902963189999999</v>
      </c>
      <c r="AG198">
        <v>1</v>
      </c>
      <c r="AH198" t="e">
        <v>#N/A</v>
      </c>
      <c r="AI198" t="str">
        <v>None</v>
      </c>
      <c r="AJ198">
        <v>32.08</v>
      </c>
      <c r="AK198">
        <v>32.07</v>
      </c>
      <c r="AL198">
        <v>1.6527078010319721E+18</v>
      </c>
    </row>
    <row r="199" spans="8:38" x14ac:dyDescent="0.3">
      <c r="H199" t="str">
        <v>2022-05-17T20:03:45.391Z</v>
      </c>
      <c r="I199" t="str">
        <v>BBG000BY29C7</v>
      </c>
      <c r="J199">
        <v>35035</v>
      </c>
      <c r="K199">
        <v>20220517</v>
      </c>
      <c r="L199" t="str">
        <v>TPR</v>
      </c>
      <c r="M199" t="str">
        <v>Tapestry Inc</v>
      </c>
      <c r="N199" t="str">
        <v>NYSE</v>
      </c>
      <c r="O199" t="str">
        <v>US8760301072</v>
      </c>
      <c r="P199">
        <v>32.79</v>
      </c>
      <c r="Q199">
        <v>39750</v>
      </c>
      <c r="R199">
        <v>33.4</v>
      </c>
      <c r="S199" t="str">
        <v>09:45:05.024936960</v>
      </c>
      <c r="T199">
        <v>31.95</v>
      </c>
      <c r="U199" t="str">
        <v>10:46:39.240533504</v>
      </c>
      <c r="V199">
        <v>33.03</v>
      </c>
      <c r="W199">
        <v>549762</v>
      </c>
      <c r="X199">
        <v>4065758</v>
      </c>
      <c r="Y199">
        <v>44345</v>
      </c>
      <c r="Z199">
        <v>4071462</v>
      </c>
      <c r="AA199">
        <v>44420</v>
      </c>
      <c r="AB199">
        <v>1192878</v>
      </c>
      <c r="AC199">
        <v>9142</v>
      </c>
      <c r="AD199">
        <v>2133526</v>
      </c>
      <c r="AE199">
        <v>9185</v>
      </c>
      <c r="AF199">
        <v>1.3902963189999999</v>
      </c>
      <c r="AG199">
        <v>1</v>
      </c>
      <c r="AH199" t="e">
        <v>#N/A</v>
      </c>
      <c r="AI199" t="str">
        <v>None</v>
      </c>
      <c r="AJ199">
        <v>32.83</v>
      </c>
      <c r="AK199">
        <v>32.74</v>
      </c>
      <c r="AL199">
        <v>1.6527942007521897E+18</v>
      </c>
    </row>
    <row r="200" spans="8:38" x14ac:dyDescent="0.3">
      <c r="H200" t="str">
        <v>2022-05-17T20:04:14.427Z</v>
      </c>
      <c r="I200" t="str">
        <v>BBG000BS7KS3</v>
      </c>
      <c r="J200">
        <v>32840</v>
      </c>
      <c r="K200">
        <v>20220517</v>
      </c>
      <c r="L200" t="str">
        <v>TAP</v>
      </c>
      <c r="M200" t="str">
        <v>Molson Coors Beverage Company</v>
      </c>
      <c r="N200" t="str">
        <v>NYSE</v>
      </c>
      <c r="O200" t="str">
        <v>US60871R2094</v>
      </c>
      <c r="P200">
        <v>56.25</v>
      </c>
      <c r="Q200">
        <v>48567</v>
      </c>
      <c r="R200">
        <v>56.36</v>
      </c>
      <c r="S200" t="str">
        <v>09:30:01.705517568</v>
      </c>
      <c r="T200">
        <v>54.58</v>
      </c>
      <c r="U200" t="str">
        <v>10:45:48.756437504</v>
      </c>
      <c r="V200">
        <v>55.85</v>
      </c>
      <c r="W200">
        <v>162937</v>
      </c>
      <c r="X200">
        <v>1130612</v>
      </c>
      <c r="Y200">
        <v>17948</v>
      </c>
      <c r="Z200">
        <v>1133207</v>
      </c>
      <c r="AA200">
        <v>17997</v>
      </c>
      <c r="AB200">
        <v>568040</v>
      </c>
      <c r="AC200">
        <v>6710</v>
      </c>
      <c r="AD200">
        <v>638876</v>
      </c>
      <c r="AE200">
        <v>6758</v>
      </c>
      <c r="AF200">
        <v>2.7951004842999998</v>
      </c>
      <c r="AG200">
        <v>2</v>
      </c>
      <c r="AH200" t="e">
        <v>#N/A</v>
      </c>
      <c r="AI200" t="str">
        <v>None</v>
      </c>
      <c r="AJ200">
        <v>55.49</v>
      </c>
      <c r="AK200">
        <v>55.51</v>
      </c>
      <c r="AL200">
        <v>1.6527942008469901E+18</v>
      </c>
    </row>
    <row r="201" spans="8:38" x14ac:dyDescent="0.3">
      <c r="H201" t="str">
        <v>2022-05-18T20:04:17.553Z</v>
      </c>
      <c r="I201" t="str">
        <v>BBG000BS7KS3</v>
      </c>
      <c r="J201">
        <v>32840</v>
      </c>
      <c r="K201">
        <v>20220518</v>
      </c>
      <c r="L201" t="str">
        <v>TAP</v>
      </c>
      <c r="M201" t="str">
        <v>Molson Coors Beverage Company</v>
      </c>
      <c r="N201" t="str">
        <v>NYSE</v>
      </c>
      <c r="O201" t="str">
        <v>US60871R2094</v>
      </c>
      <c r="P201">
        <v>55.33</v>
      </c>
      <c r="Q201">
        <v>13565</v>
      </c>
      <c r="R201">
        <v>55.45</v>
      </c>
      <c r="S201" t="str">
        <v>09:30:01.038795776</v>
      </c>
      <c r="T201">
        <v>52.33</v>
      </c>
      <c r="U201" t="str">
        <v>15:56:58.636637952</v>
      </c>
      <c r="V201">
        <v>52.44</v>
      </c>
      <c r="W201">
        <v>313356</v>
      </c>
      <c r="X201">
        <v>1283382</v>
      </c>
      <c r="Y201">
        <v>19396</v>
      </c>
      <c r="Z201">
        <v>1284541</v>
      </c>
      <c r="AA201">
        <v>19441</v>
      </c>
      <c r="AB201">
        <v>560256</v>
      </c>
      <c r="AC201">
        <v>7760</v>
      </c>
      <c r="AD201">
        <v>581093</v>
      </c>
      <c r="AE201">
        <v>7796</v>
      </c>
      <c r="AF201">
        <v>2.7951004842999998</v>
      </c>
      <c r="AG201">
        <v>2</v>
      </c>
      <c r="AH201" t="e">
        <v>#N/A</v>
      </c>
      <c r="AI201" t="str">
        <v>None</v>
      </c>
      <c r="AJ201">
        <v>52.95</v>
      </c>
      <c r="AK201">
        <v>52.95</v>
      </c>
      <c r="AL201">
        <v>1.6528806010381143E+18</v>
      </c>
    </row>
    <row r="202" spans="8:38" x14ac:dyDescent="0.3">
      <c r="H202" t="str">
        <v>2022-05-18T20:04:21.688Z</v>
      </c>
      <c r="I202" t="str">
        <v>BBG000BY29C7</v>
      </c>
      <c r="J202">
        <v>35035</v>
      </c>
      <c r="K202">
        <v>20220518</v>
      </c>
      <c r="L202" t="str">
        <v>TPR</v>
      </c>
      <c r="M202" t="str">
        <v>Tapestry Inc</v>
      </c>
      <c r="N202" t="str">
        <v>NYSE</v>
      </c>
      <c r="O202" t="str">
        <v>US8760301072</v>
      </c>
      <c r="P202">
        <v>31.5</v>
      </c>
      <c r="Q202">
        <v>77192</v>
      </c>
      <c r="R202">
        <v>33.020000000000003</v>
      </c>
      <c r="S202" t="str">
        <v>10:58:22.527205376</v>
      </c>
      <c r="T202">
        <v>31.11</v>
      </c>
      <c r="U202" t="str">
        <v>09:33:27.119282176</v>
      </c>
      <c r="V202">
        <v>31.85</v>
      </c>
      <c r="W202">
        <v>332382</v>
      </c>
      <c r="X202">
        <v>3831683</v>
      </c>
      <c r="Y202">
        <v>44556</v>
      </c>
      <c r="Z202">
        <v>3837122</v>
      </c>
      <c r="AA202">
        <v>44629</v>
      </c>
      <c r="AB202">
        <v>1132018</v>
      </c>
      <c r="AC202">
        <v>8661</v>
      </c>
      <c r="AD202">
        <v>1250627</v>
      </c>
      <c r="AE202">
        <v>8701</v>
      </c>
      <c r="AF202">
        <v>1.3902963189999999</v>
      </c>
      <c r="AG202">
        <v>1</v>
      </c>
      <c r="AH202" t="e">
        <v>#N/A</v>
      </c>
      <c r="AI202" t="str">
        <v>None</v>
      </c>
      <c r="AJ202">
        <v>32.08</v>
      </c>
      <c r="AK202">
        <v>32.090000000000003</v>
      </c>
      <c r="AL202">
        <v>1.6528807637526746E+18</v>
      </c>
    </row>
    <row r="203" spans="8:38" x14ac:dyDescent="0.3">
      <c r="H203" t="str">
        <v>2022-05-19T20:04:36.087Z</v>
      </c>
      <c r="I203" t="str">
        <v>BBG000BS7KS3</v>
      </c>
      <c r="J203">
        <v>32840</v>
      </c>
      <c r="K203">
        <v>20220519</v>
      </c>
      <c r="L203" t="str">
        <v>TAP</v>
      </c>
      <c r="M203" t="str">
        <v>Molson Coors Beverage Company</v>
      </c>
      <c r="N203" t="str">
        <v>NYSE</v>
      </c>
      <c r="O203" t="str">
        <v>US60871R2094</v>
      </c>
      <c r="P203">
        <v>51.77</v>
      </c>
      <c r="Q203">
        <v>19893</v>
      </c>
      <c r="R203">
        <v>51.98</v>
      </c>
      <c r="S203" t="str">
        <v>09:36:39.555743488</v>
      </c>
      <c r="T203">
        <v>50.33</v>
      </c>
      <c r="U203" t="str">
        <v>10:57:16.309699584</v>
      </c>
      <c r="V203">
        <v>50.78</v>
      </c>
      <c r="W203">
        <v>307086</v>
      </c>
      <c r="X203">
        <v>1274731</v>
      </c>
      <c r="Y203">
        <v>20024</v>
      </c>
      <c r="Z203">
        <v>1275420</v>
      </c>
      <c r="AA203">
        <v>20050</v>
      </c>
      <c r="AB203">
        <v>842535</v>
      </c>
      <c r="AC203">
        <v>6226</v>
      </c>
      <c r="AD203">
        <v>874794</v>
      </c>
      <c r="AE203">
        <v>6269</v>
      </c>
      <c r="AF203">
        <v>2.7951004842999998</v>
      </c>
      <c r="AG203">
        <v>2</v>
      </c>
      <c r="AH203" t="e">
        <v>#N/A</v>
      </c>
      <c r="AI203" t="str">
        <v>None</v>
      </c>
      <c r="AJ203">
        <v>50.93</v>
      </c>
      <c r="AK203">
        <v>50.93</v>
      </c>
      <c r="AL203">
        <v>1.6529670009359037E+18</v>
      </c>
    </row>
    <row r="204" spans="8:38" x14ac:dyDescent="0.3">
      <c r="H204" t="str">
        <v>2022-05-19T20:04:37.808Z</v>
      </c>
      <c r="I204" t="str">
        <v>BBG000BY29C7</v>
      </c>
      <c r="J204">
        <v>35035</v>
      </c>
      <c r="K204">
        <v>20220519</v>
      </c>
      <c r="L204" t="str">
        <v>TPR</v>
      </c>
      <c r="M204" t="str">
        <v>Tapestry Inc</v>
      </c>
      <c r="N204" t="str">
        <v>NYSE</v>
      </c>
      <c r="O204" t="str">
        <v>US8760301072</v>
      </c>
      <c r="P204">
        <v>31.17</v>
      </c>
      <c r="Q204">
        <v>38327</v>
      </c>
      <c r="R204">
        <v>31.9</v>
      </c>
      <c r="S204" t="str">
        <v>09:32:29.616496384</v>
      </c>
      <c r="T204">
        <v>30.94</v>
      </c>
      <c r="U204" t="str">
        <v>15:53:31.295366400</v>
      </c>
      <c r="V204">
        <v>30.97</v>
      </c>
      <c r="W204">
        <v>408692</v>
      </c>
      <c r="X204">
        <v>3125589</v>
      </c>
      <c r="Y204">
        <v>36799</v>
      </c>
      <c r="Z204">
        <v>3126366</v>
      </c>
      <c r="AA204">
        <v>36823</v>
      </c>
      <c r="AB204">
        <v>852805</v>
      </c>
      <c r="AC204">
        <v>6687</v>
      </c>
      <c r="AD204">
        <v>909689</v>
      </c>
      <c r="AE204">
        <v>6736</v>
      </c>
      <c r="AF204">
        <v>1.3902963189999999</v>
      </c>
      <c r="AG204">
        <v>1</v>
      </c>
      <c r="AH204" t="e">
        <v>#N/A</v>
      </c>
      <c r="AI204" t="str">
        <v>None</v>
      </c>
      <c r="AJ204">
        <v>31.34</v>
      </c>
      <c r="AK204">
        <v>31.34</v>
      </c>
      <c r="AL204">
        <v>1.6529670007554744E+18</v>
      </c>
    </row>
    <row r="205" spans="8:38" x14ac:dyDescent="0.3">
      <c r="H205" t="str">
        <v>2022-05-20T20:04:34.984Z</v>
      </c>
      <c r="I205" t="str">
        <v>BBG000BS7KS3</v>
      </c>
      <c r="J205">
        <v>32840</v>
      </c>
      <c r="K205">
        <v>20220520</v>
      </c>
      <c r="L205" t="str">
        <v>TAP</v>
      </c>
      <c r="M205" t="str">
        <v>Molson Coors Beverage Company</v>
      </c>
      <c r="N205" t="str">
        <v>NYSE</v>
      </c>
      <c r="O205" t="str">
        <v>US60871R2094</v>
      </c>
      <c r="P205">
        <v>51.2</v>
      </c>
      <c r="Q205">
        <v>49706</v>
      </c>
      <c r="R205">
        <v>52</v>
      </c>
      <c r="S205" t="str">
        <v>09:32:51.063158016</v>
      </c>
      <c r="T205">
        <v>50.04</v>
      </c>
      <c r="U205" t="str">
        <v>12:11:23.164388864</v>
      </c>
      <c r="V205">
        <v>51.23</v>
      </c>
      <c r="W205">
        <v>239656</v>
      </c>
      <c r="X205">
        <v>1179576</v>
      </c>
      <c r="Y205">
        <v>16116</v>
      </c>
      <c r="Z205">
        <v>1179747</v>
      </c>
      <c r="AA205">
        <v>16124</v>
      </c>
      <c r="AB205">
        <v>407218</v>
      </c>
      <c r="AC205">
        <v>4381</v>
      </c>
      <c r="AD205">
        <v>445350</v>
      </c>
      <c r="AE205">
        <v>4422</v>
      </c>
      <c r="AF205">
        <v>2.7951004842999998</v>
      </c>
      <c r="AG205">
        <v>2</v>
      </c>
      <c r="AH205" t="e">
        <v>#N/A</v>
      </c>
      <c r="AI205" t="str">
        <v>None</v>
      </c>
      <c r="AJ205">
        <v>50.95</v>
      </c>
      <c r="AK205">
        <v>50.96</v>
      </c>
      <c r="AL205">
        <v>1.6530534010681014E+18</v>
      </c>
    </row>
    <row r="206" spans="8:38" x14ac:dyDescent="0.3">
      <c r="H206" t="str">
        <v>2022-05-20T20:04:59.674Z</v>
      </c>
      <c r="I206" t="str">
        <v>BBG000BY29C7</v>
      </c>
      <c r="J206">
        <v>35035</v>
      </c>
      <c r="K206">
        <v>20220520</v>
      </c>
      <c r="L206" t="str">
        <v>TPR</v>
      </c>
      <c r="M206" t="str">
        <v>Tapestry Inc</v>
      </c>
      <c r="N206" t="str">
        <v>NYSE</v>
      </c>
      <c r="O206" t="str">
        <v>US8760301072</v>
      </c>
      <c r="P206">
        <v>31.66</v>
      </c>
      <c r="Q206">
        <v>47186</v>
      </c>
      <c r="R206">
        <v>31.79</v>
      </c>
      <c r="S206" t="str">
        <v>09:30:24.376870656</v>
      </c>
      <c r="T206">
        <v>30.53</v>
      </c>
      <c r="U206" t="str">
        <v>12:47:02.875267584</v>
      </c>
      <c r="V206">
        <v>31.41</v>
      </c>
      <c r="W206">
        <v>615511</v>
      </c>
      <c r="X206">
        <v>3390621</v>
      </c>
      <c r="Y206">
        <v>37772</v>
      </c>
      <c r="Z206">
        <v>3409299</v>
      </c>
      <c r="AA206">
        <v>37843</v>
      </c>
      <c r="AB206">
        <v>961162</v>
      </c>
      <c r="AC206">
        <v>7678</v>
      </c>
      <c r="AD206">
        <v>1675404</v>
      </c>
      <c r="AE206">
        <v>7724</v>
      </c>
      <c r="AF206">
        <v>1.3902963189999999</v>
      </c>
      <c r="AG206">
        <v>1</v>
      </c>
      <c r="AH206" t="e">
        <v>#N/A</v>
      </c>
      <c r="AI206" t="str">
        <v>None</v>
      </c>
      <c r="AJ206">
        <v>31.12</v>
      </c>
      <c r="AK206">
        <v>31.11</v>
      </c>
      <c r="AL206">
        <v>1.6530534008314534E+18</v>
      </c>
    </row>
    <row r="207" spans="8:38" x14ac:dyDescent="0.3">
      <c r="H207" t="str">
        <v>2022-05-23T20:03:57.468Z</v>
      </c>
      <c r="I207" t="str">
        <v>BBG000BS7KS3</v>
      </c>
      <c r="J207">
        <v>32840</v>
      </c>
      <c r="K207">
        <v>20220523</v>
      </c>
      <c r="L207" t="str">
        <v>TAP</v>
      </c>
      <c r="M207" t="str">
        <v>Molson Coors Beverage Company</v>
      </c>
      <c r="N207" t="str">
        <v>NYSE</v>
      </c>
      <c r="O207" t="str">
        <v>US60871R2094</v>
      </c>
      <c r="P207">
        <v>51.96</v>
      </c>
      <c r="Q207">
        <v>18136</v>
      </c>
      <c r="R207">
        <v>52.5</v>
      </c>
      <c r="S207" t="str">
        <v>11:31:14.118138880</v>
      </c>
      <c r="T207">
        <v>51.45</v>
      </c>
      <c r="U207" t="str">
        <v>10:16:55.056811008</v>
      </c>
      <c r="V207">
        <v>52.12</v>
      </c>
      <c r="W207">
        <v>177263</v>
      </c>
      <c r="X207">
        <v>837173</v>
      </c>
      <c r="Y207">
        <v>14469</v>
      </c>
      <c r="Z207">
        <v>837514</v>
      </c>
      <c r="AA207">
        <v>14481</v>
      </c>
      <c r="AB207">
        <v>345044</v>
      </c>
      <c r="AC207">
        <v>3672</v>
      </c>
      <c r="AD207">
        <v>374157</v>
      </c>
      <c r="AE207">
        <v>3710</v>
      </c>
      <c r="AF207">
        <v>2.7951004842999998</v>
      </c>
      <c r="AG207">
        <v>2</v>
      </c>
      <c r="AH207" t="e">
        <v>#N/A</v>
      </c>
      <c r="AI207" t="str">
        <v>None</v>
      </c>
      <c r="AJ207">
        <v>52.12</v>
      </c>
      <c r="AK207">
        <v>52.12</v>
      </c>
      <c r="AL207">
        <v>1.6533126009769994E+18</v>
      </c>
    </row>
    <row r="208" spans="8:38" x14ac:dyDescent="0.3">
      <c r="H208" t="str">
        <v>2022-05-23T20:03:58.930Z</v>
      </c>
      <c r="I208" t="str">
        <v>BBG000BY29C7</v>
      </c>
      <c r="J208">
        <v>35035</v>
      </c>
      <c r="K208">
        <v>20220523</v>
      </c>
      <c r="L208" t="str">
        <v>TPR</v>
      </c>
      <c r="M208" t="str">
        <v>Tapestry Inc</v>
      </c>
      <c r="N208" t="str">
        <v>NYSE</v>
      </c>
      <c r="O208" t="str">
        <v>US8760301072</v>
      </c>
      <c r="P208">
        <v>31.92</v>
      </c>
      <c r="Q208">
        <v>37454</v>
      </c>
      <c r="R208">
        <v>32.07</v>
      </c>
      <c r="S208" t="str">
        <v>09:33:45.011626496</v>
      </c>
      <c r="T208">
        <v>30.84</v>
      </c>
      <c r="U208" t="str">
        <v>10:29:10.126215936</v>
      </c>
      <c r="V208">
        <v>31.3</v>
      </c>
      <c r="W208">
        <v>400768</v>
      </c>
      <c r="X208">
        <v>2979357</v>
      </c>
      <c r="Y208">
        <v>35045</v>
      </c>
      <c r="Z208">
        <v>2985635</v>
      </c>
      <c r="AA208">
        <v>35118</v>
      </c>
      <c r="AB208">
        <v>905554</v>
      </c>
      <c r="AC208">
        <v>8343</v>
      </c>
      <c r="AD208">
        <v>1151773</v>
      </c>
      <c r="AE208">
        <v>8414</v>
      </c>
      <c r="AF208">
        <v>1.3902963189999999</v>
      </c>
      <c r="AG208">
        <v>1</v>
      </c>
      <c r="AH208" t="e">
        <v>#N/A</v>
      </c>
      <c r="AI208" t="str">
        <v>None</v>
      </c>
      <c r="AJ208">
        <v>31.37</v>
      </c>
      <c r="AK208">
        <v>31.36</v>
      </c>
      <c r="AL208">
        <v>1.6533126007945101E+18</v>
      </c>
    </row>
    <row r="209" spans="8:38" x14ac:dyDescent="0.3">
      <c r="H209" t="str">
        <v>2022-05-24T20:04:59.605Z</v>
      </c>
      <c r="I209" t="str">
        <v>BBG000BS7KS3</v>
      </c>
      <c r="J209">
        <v>32840</v>
      </c>
      <c r="K209">
        <v>20220524</v>
      </c>
      <c r="L209" t="str">
        <v>TAP</v>
      </c>
      <c r="M209" t="str">
        <v>Molson Coors Beverage Company</v>
      </c>
      <c r="N209" t="str">
        <v>NYSE</v>
      </c>
      <c r="O209" t="str">
        <v>US60871R2094</v>
      </c>
      <c r="P209">
        <v>52.13</v>
      </c>
      <c r="Q209">
        <v>18242</v>
      </c>
      <c r="R209">
        <v>53.8</v>
      </c>
      <c r="S209" t="str">
        <v>15:52:07.458163456</v>
      </c>
      <c r="T209">
        <v>51.84</v>
      </c>
      <c r="U209" t="str">
        <v>10:35:14.242242304</v>
      </c>
      <c r="V209">
        <v>53.73</v>
      </c>
      <c r="W209">
        <v>165522</v>
      </c>
      <c r="X209">
        <v>946117</v>
      </c>
      <c r="Y209">
        <v>18059</v>
      </c>
      <c r="Z209">
        <v>946235</v>
      </c>
      <c r="AA209">
        <v>18069</v>
      </c>
      <c r="AB209">
        <v>330243</v>
      </c>
      <c r="AC209">
        <v>4430</v>
      </c>
      <c r="AD209">
        <v>346578</v>
      </c>
      <c r="AE209">
        <v>4473</v>
      </c>
      <c r="AF209">
        <v>2.7951004842999998</v>
      </c>
      <c r="AG209">
        <v>2</v>
      </c>
      <c r="AH209" t="e">
        <v>#N/A</v>
      </c>
      <c r="AI209" t="str">
        <v>None</v>
      </c>
      <c r="AJ209">
        <v>53</v>
      </c>
      <c r="AK209">
        <v>53.01</v>
      </c>
      <c r="AL209">
        <v>1.6533990009480742E+18</v>
      </c>
    </row>
    <row r="210" spans="8:38" x14ac:dyDescent="0.3">
      <c r="H210" t="str">
        <v>2022-05-24T20:05:01.280Z</v>
      </c>
      <c r="I210" t="str">
        <v>BBG000BY29C7</v>
      </c>
      <c r="J210">
        <v>35035</v>
      </c>
      <c r="K210">
        <v>20220524</v>
      </c>
      <c r="L210" t="str">
        <v>TPR</v>
      </c>
      <c r="M210" t="str">
        <v>Tapestry Inc</v>
      </c>
      <c r="N210" t="str">
        <v>NYSE</v>
      </c>
      <c r="O210" t="str">
        <v>US8760301072</v>
      </c>
      <c r="P210">
        <v>30.82</v>
      </c>
      <c r="Q210">
        <v>31284</v>
      </c>
      <c r="R210">
        <v>30.75</v>
      </c>
      <c r="S210" t="str">
        <v>09:32:22.400525824</v>
      </c>
      <c r="T210">
        <v>29.78</v>
      </c>
      <c r="U210" t="str">
        <v>11:15:35.409428224</v>
      </c>
      <c r="V210">
        <v>30.04</v>
      </c>
      <c r="W210">
        <v>337326</v>
      </c>
      <c r="X210">
        <v>4653182</v>
      </c>
      <c r="Y210">
        <v>50814</v>
      </c>
      <c r="Z210">
        <v>4655932</v>
      </c>
      <c r="AA210">
        <v>50843</v>
      </c>
      <c r="AB210">
        <v>1409180</v>
      </c>
      <c r="AC210">
        <v>10681</v>
      </c>
      <c r="AD210">
        <v>1460295</v>
      </c>
      <c r="AE210">
        <v>10716</v>
      </c>
      <c r="AF210">
        <v>1.3902963189999999</v>
      </c>
      <c r="AG210">
        <v>1</v>
      </c>
      <c r="AH210" t="e">
        <v>#N/A</v>
      </c>
      <c r="AI210" t="str">
        <v>None</v>
      </c>
      <c r="AJ210">
        <v>30.13</v>
      </c>
      <c r="AK210">
        <v>30.13</v>
      </c>
      <c r="AL210">
        <v>1.6533990007391324E+18</v>
      </c>
    </row>
    <row r="211" spans="8:38" x14ac:dyDescent="0.3">
      <c r="H211" t="str">
        <v>2022-05-25T20:04:33.132Z</v>
      </c>
      <c r="I211" t="str">
        <v>BBG000BS7KS3</v>
      </c>
      <c r="J211">
        <v>32840</v>
      </c>
      <c r="K211">
        <v>20220525</v>
      </c>
      <c r="L211" t="str">
        <v>TAP</v>
      </c>
      <c r="M211" t="str">
        <v>Molson Coors Beverage Company</v>
      </c>
      <c r="N211" t="str">
        <v>NYSE</v>
      </c>
      <c r="O211" t="str">
        <v>US60871R2094</v>
      </c>
      <c r="P211">
        <v>53.83</v>
      </c>
      <c r="Q211">
        <v>16371</v>
      </c>
      <c r="R211">
        <v>54.54</v>
      </c>
      <c r="S211" t="str">
        <v>14:51:14.084819712</v>
      </c>
      <c r="T211">
        <v>53.47</v>
      </c>
      <c r="U211" t="str">
        <v>09:34:27.184463360</v>
      </c>
      <c r="V211">
        <v>54.33</v>
      </c>
      <c r="W211">
        <v>175121</v>
      </c>
      <c r="X211">
        <v>933274</v>
      </c>
      <c r="Y211">
        <v>16417</v>
      </c>
      <c r="Z211">
        <v>933507</v>
      </c>
      <c r="AA211">
        <v>16425</v>
      </c>
      <c r="AB211">
        <v>262524</v>
      </c>
      <c r="AC211">
        <v>3592</v>
      </c>
      <c r="AD211">
        <v>286705</v>
      </c>
      <c r="AE211">
        <v>3636</v>
      </c>
      <c r="AF211">
        <v>2.7951004842999998</v>
      </c>
      <c r="AG211">
        <v>2</v>
      </c>
      <c r="AH211" t="e">
        <v>#N/A</v>
      </c>
      <c r="AI211" t="str">
        <v>None</v>
      </c>
      <c r="AJ211">
        <v>54.18</v>
      </c>
      <c r="AK211">
        <v>54.18</v>
      </c>
      <c r="AL211">
        <v>1.6534854008731781E+18</v>
      </c>
    </row>
    <row r="212" spans="8:38" x14ac:dyDescent="0.3">
      <c r="H212" t="str">
        <v>2022-05-25T20:04:38.116Z</v>
      </c>
      <c r="I212" t="str">
        <v>BBG000BY29C7</v>
      </c>
      <c r="J212">
        <v>35035</v>
      </c>
      <c r="K212">
        <v>20220525</v>
      </c>
      <c r="L212" t="str">
        <v>TPR</v>
      </c>
      <c r="M212" t="str">
        <v>Tapestry Inc</v>
      </c>
      <c r="N212" t="str">
        <v>NYSE</v>
      </c>
      <c r="O212" t="str">
        <v>US8760301072</v>
      </c>
      <c r="P212">
        <v>29.58</v>
      </c>
      <c r="Q212">
        <v>38502</v>
      </c>
      <c r="R212">
        <v>31.83</v>
      </c>
      <c r="S212" t="str">
        <v>10:52:49.858798592</v>
      </c>
      <c r="T212">
        <v>29.55</v>
      </c>
      <c r="U212" t="str">
        <v>09:30:41.095396864</v>
      </c>
      <c r="V212">
        <v>31.52</v>
      </c>
      <c r="W212">
        <v>265766</v>
      </c>
      <c r="X212">
        <v>3125827</v>
      </c>
      <c r="Y212">
        <v>36030</v>
      </c>
      <c r="Z212">
        <v>3126246</v>
      </c>
      <c r="AA212">
        <v>36043</v>
      </c>
      <c r="AB212">
        <v>1001219</v>
      </c>
      <c r="AC212">
        <v>7879</v>
      </c>
      <c r="AD212">
        <v>1048836</v>
      </c>
      <c r="AE212">
        <v>7922</v>
      </c>
      <c r="AF212">
        <v>1.3902963189999999</v>
      </c>
      <c r="AG212">
        <v>1</v>
      </c>
      <c r="AH212" t="e">
        <v>#N/A</v>
      </c>
      <c r="AI212" t="str">
        <v>None</v>
      </c>
      <c r="AJ212">
        <v>31.26</v>
      </c>
      <c r="AK212">
        <v>31.26</v>
      </c>
      <c r="AL212">
        <v>1.6534854007469678E+18</v>
      </c>
    </row>
    <row r="213" spans="8:38" x14ac:dyDescent="0.3">
      <c r="H213" t="str">
        <v>2022-05-26T20:04:54.319Z</v>
      </c>
      <c r="I213" t="str">
        <v>BBG000BS7KS3</v>
      </c>
      <c r="J213">
        <v>32840</v>
      </c>
      <c r="K213">
        <v>20220526</v>
      </c>
      <c r="L213" t="str">
        <v>TAP</v>
      </c>
      <c r="M213" t="str">
        <v>Molson Coors Beverage Company</v>
      </c>
      <c r="N213" t="str">
        <v>NYSE</v>
      </c>
      <c r="O213" t="str">
        <v>US60871R2094</v>
      </c>
      <c r="P213">
        <v>54.75</v>
      </c>
      <c r="Q213">
        <v>16601</v>
      </c>
      <c r="R213">
        <v>55</v>
      </c>
      <c r="S213" t="str">
        <v>09:43:31.519719936</v>
      </c>
      <c r="T213">
        <v>54.21</v>
      </c>
      <c r="U213" t="str">
        <v>12:15:32.495376128</v>
      </c>
      <c r="V213">
        <v>54.53</v>
      </c>
      <c r="W213">
        <v>187136</v>
      </c>
      <c r="X213">
        <v>989816</v>
      </c>
      <c r="Y213">
        <v>15339</v>
      </c>
      <c r="Z213">
        <v>992811</v>
      </c>
      <c r="AA213">
        <v>15388</v>
      </c>
      <c r="AB213">
        <v>319430</v>
      </c>
      <c r="AC213">
        <v>4105</v>
      </c>
      <c r="AD213">
        <v>336568</v>
      </c>
      <c r="AE213">
        <v>4149</v>
      </c>
      <c r="AF213">
        <v>2.7951004842999998</v>
      </c>
      <c r="AG213">
        <v>2</v>
      </c>
      <c r="AH213" t="e">
        <v>#N/A</v>
      </c>
      <c r="AI213" t="str">
        <v>None</v>
      </c>
      <c r="AJ213">
        <v>54.57</v>
      </c>
      <c r="AK213">
        <v>54.57</v>
      </c>
      <c r="AL213">
        <v>1.6535718009114611E+18</v>
      </c>
    </row>
    <row r="214" spans="8:38" x14ac:dyDescent="0.3">
      <c r="H214" t="str">
        <v>2022-05-26T20:04:57.593Z</v>
      </c>
      <c r="I214" t="str">
        <v>BBG000BY29C7</v>
      </c>
      <c r="J214">
        <v>35035</v>
      </c>
      <c r="K214">
        <v>20220526</v>
      </c>
      <c r="L214" t="str">
        <v>TPR</v>
      </c>
      <c r="M214" t="str">
        <v>Tapestry Inc</v>
      </c>
      <c r="N214" t="str">
        <v>NYSE</v>
      </c>
      <c r="O214" t="str">
        <v>US8760301072</v>
      </c>
      <c r="P214">
        <v>32.11</v>
      </c>
      <c r="Q214">
        <v>29338</v>
      </c>
      <c r="R214">
        <v>33.71</v>
      </c>
      <c r="S214" t="str">
        <v>13:10:16.931080704</v>
      </c>
      <c r="T214">
        <v>32.15</v>
      </c>
      <c r="U214" t="str">
        <v>09:30:01.436795392</v>
      </c>
      <c r="V214">
        <v>33.4</v>
      </c>
      <c r="W214">
        <v>261620</v>
      </c>
      <c r="X214">
        <v>2510556</v>
      </c>
      <c r="Y214">
        <v>31200</v>
      </c>
      <c r="Z214">
        <v>2512127</v>
      </c>
      <c r="AA214">
        <v>31235</v>
      </c>
      <c r="AB214">
        <v>704516</v>
      </c>
      <c r="AC214">
        <v>6964</v>
      </c>
      <c r="AD214">
        <v>760570</v>
      </c>
      <c r="AE214">
        <v>6998</v>
      </c>
      <c r="AF214">
        <v>1.3902963189999999</v>
      </c>
      <c r="AG214">
        <v>1</v>
      </c>
      <c r="AH214" t="e">
        <v>#N/A</v>
      </c>
      <c r="AI214" t="str">
        <v>None</v>
      </c>
      <c r="AJ214">
        <v>33.36</v>
      </c>
      <c r="AK214">
        <v>33.36</v>
      </c>
      <c r="AL214">
        <v>1.6535718007284106E+18</v>
      </c>
    </row>
    <row r="215" spans="8:38" x14ac:dyDescent="0.3">
      <c r="H215" t="str">
        <v>2022-05-27T20:04:19.442Z</v>
      </c>
      <c r="I215" t="str">
        <v>BBG000BS7KS3</v>
      </c>
      <c r="J215">
        <v>32840</v>
      </c>
      <c r="K215">
        <v>20220527</v>
      </c>
      <c r="L215" t="str">
        <v>TAP</v>
      </c>
      <c r="M215" t="str">
        <v>Molson Coors Beverage Company</v>
      </c>
      <c r="N215" t="str">
        <v>NYSE</v>
      </c>
      <c r="O215" t="str">
        <v>US60871R2094</v>
      </c>
      <c r="P215">
        <v>54.53</v>
      </c>
      <c r="Q215">
        <v>43198</v>
      </c>
      <c r="R215">
        <v>55.51</v>
      </c>
      <c r="S215" t="str">
        <v>11:01:51.875964160</v>
      </c>
      <c r="T215">
        <v>54.38</v>
      </c>
      <c r="U215" t="str">
        <v>09:41:07.701641216</v>
      </c>
      <c r="V215">
        <v>55.15</v>
      </c>
      <c r="W215">
        <v>163954</v>
      </c>
      <c r="X215">
        <v>1091512</v>
      </c>
      <c r="Y215">
        <v>17585</v>
      </c>
      <c r="Z215">
        <v>1093644</v>
      </c>
      <c r="AA215">
        <v>17607</v>
      </c>
      <c r="AB215">
        <v>522355</v>
      </c>
      <c r="AC215">
        <v>4619</v>
      </c>
      <c r="AD215">
        <v>568888</v>
      </c>
      <c r="AE215">
        <v>4662</v>
      </c>
      <c r="AF215">
        <v>2.7951004842999998</v>
      </c>
      <c r="AG215">
        <v>2</v>
      </c>
      <c r="AH215" t="e">
        <v>#N/A</v>
      </c>
      <c r="AI215" t="str">
        <v>None</v>
      </c>
      <c r="AJ215">
        <v>54.92</v>
      </c>
      <c r="AK215">
        <v>54.92</v>
      </c>
      <c r="AL215">
        <v>1.6536582007953144E+18</v>
      </c>
    </row>
    <row r="216" spans="8:38" x14ac:dyDescent="0.3">
      <c r="H216" t="str">
        <v>2022-05-27T20:04:22.664Z</v>
      </c>
      <c r="I216" t="str">
        <v>BBG000BY29C7</v>
      </c>
      <c r="J216">
        <v>35035</v>
      </c>
      <c r="K216">
        <v>20220527</v>
      </c>
      <c r="L216" t="str">
        <v>TPR</v>
      </c>
      <c r="M216" t="str">
        <v>Tapestry Inc</v>
      </c>
      <c r="N216" t="str">
        <v>NYSE</v>
      </c>
      <c r="O216" t="str">
        <v>US8760301072</v>
      </c>
      <c r="P216">
        <v>33.33</v>
      </c>
      <c r="Q216">
        <v>37170</v>
      </c>
      <c r="R216">
        <v>34.340000000000003</v>
      </c>
      <c r="S216" t="str">
        <v>15:59:36.804932864</v>
      </c>
      <c r="T216">
        <v>33.380000000000003</v>
      </c>
      <c r="U216" t="str">
        <v>09:30:09.631779584</v>
      </c>
      <c r="V216">
        <v>34.340000000000003</v>
      </c>
      <c r="W216">
        <v>239975</v>
      </c>
      <c r="X216">
        <v>2394122</v>
      </c>
      <c r="Y216">
        <v>31517</v>
      </c>
      <c r="Z216">
        <v>2396427</v>
      </c>
      <c r="AA216">
        <v>31554</v>
      </c>
      <c r="AB216">
        <v>599140</v>
      </c>
      <c r="AC216">
        <v>6010</v>
      </c>
      <c r="AD216">
        <v>633669</v>
      </c>
      <c r="AE216">
        <v>6050</v>
      </c>
      <c r="AF216">
        <v>1.3902963189999999</v>
      </c>
      <c r="AG216">
        <v>1</v>
      </c>
      <c r="AH216" t="e">
        <v>#N/A</v>
      </c>
      <c r="AI216" t="str">
        <v>None</v>
      </c>
      <c r="AJ216">
        <v>34.04</v>
      </c>
      <c r="AK216">
        <v>34.04</v>
      </c>
      <c r="AL216">
        <v>1.653658200750282E+18</v>
      </c>
    </row>
    <row r="217" spans="8:38" x14ac:dyDescent="0.3">
      <c r="H217" t="str">
        <v>2022-05-31T20:04:13.533Z</v>
      </c>
      <c r="I217" t="str">
        <v>BBG000BS7KS3</v>
      </c>
      <c r="J217">
        <v>32840</v>
      </c>
      <c r="K217">
        <v>20220531</v>
      </c>
      <c r="L217" t="str">
        <v>TAP</v>
      </c>
      <c r="M217" t="str">
        <v>Molson Coors Beverage Company</v>
      </c>
      <c r="N217" t="str">
        <v>NYSE</v>
      </c>
      <c r="O217" t="str">
        <v>US60871R2094</v>
      </c>
      <c r="P217">
        <v>54.95</v>
      </c>
      <c r="Q217">
        <v>28937</v>
      </c>
      <c r="R217">
        <v>56.01</v>
      </c>
      <c r="S217" t="str">
        <v>15:54:58.262993152</v>
      </c>
      <c r="T217">
        <v>54.28</v>
      </c>
      <c r="U217" t="str">
        <v>09:38:06.533318912</v>
      </c>
      <c r="V217">
        <v>55.84</v>
      </c>
      <c r="W217">
        <v>1187789</v>
      </c>
      <c r="X217">
        <v>2112274</v>
      </c>
      <c r="Y217">
        <v>17743</v>
      </c>
      <c r="Z217">
        <v>2115718</v>
      </c>
      <c r="AA217">
        <v>17775</v>
      </c>
      <c r="AB217">
        <v>310422</v>
      </c>
      <c r="AC217">
        <v>3933</v>
      </c>
      <c r="AD217">
        <v>601311</v>
      </c>
      <c r="AE217">
        <v>4023</v>
      </c>
      <c r="AF217">
        <v>2.7951004842999998</v>
      </c>
      <c r="AG217">
        <v>2</v>
      </c>
      <c r="AH217" t="e">
        <v>#N/A</v>
      </c>
      <c r="AI217" t="str">
        <v>None</v>
      </c>
      <c r="AJ217">
        <v>55.62</v>
      </c>
      <c r="AK217">
        <v>55.64</v>
      </c>
      <c r="AL217">
        <v>1.6540038009148411E+18</v>
      </c>
    </row>
    <row r="218" spans="8:38" x14ac:dyDescent="0.3">
      <c r="H218" t="str">
        <v>2022-05-31T20:04:17.253Z</v>
      </c>
      <c r="I218" t="str">
        <v>BBG000BY29C7</v>
      </c>
      <c r="J218">
        <v>35035</v>
      </c>
      <c r="K218">
        <v>20220531</v>
      </c>
      <c r="L218" t="str">
        <v>TPR</v>
      </c>
      <c r="M218" t="str">
        <v>Tapestry Inc</v>
      </c>
      <c r="N218" t="str">
        <v>NYSE</v>
      </c>
      <c r="O218" t="str">
        <v>US8760301072</v>
      </c>
      <c r="P218">
        <v>34.44</v>
      </c>
      <c r="Q218">
        <v>40242</v>
      </c>
      <c r="R218">
        <v>34.96</v>
      </c>
      <c r="S218" t="str">
        <v>14:29:54.810745088</v>
      </c>
      <c r="T218">
        <v>33.72</v>
      </c>
      <c r="U218" t="str">
        <v>10:04:02.060692992</v>
      </c>
      <c r="V218">
        <v>34.5</v>
      </c>
      <c r="W218">
        <v>725550</v>
      </c>
      <c r="X218">
        <v>3555880</v>
      </c>
      <c r="Y218">
        <v>34855</v>
      </c>
      <c r="Z218">
        <v>3556964</v>
      </c>
      <c r="AA218">
        <v>34881</v>
      </c>
      <c r="AB218">
        <v>1830292</v>
      </c>
      <c r="AC218">
        <v>7672</v>
      </c>
      <c r="AD218">
        <v>2132502</v>
      </c>
      <c r="AE218">
        <v>7739</v>
      </c>
      <c r="AF218">
        <v>1.3902963189999999</v>
      </c>
      <c r="AG218">
        <v>1</v>
      </c>
      <c r="AH218" t="e">
        <v>#N/A</v>
      </c>
      <c r="AI218" t="str">
        <v>None</v>
      </c>
      <c r="AJ218">
        <v>34.47</v>
      </c>
      <c r="AK218">
        <v>34.47</v>
      </c>
      <c r="AL218">
        <v>1.6540038008707909E+18</v>
      </c>
    </row>
    <row r="219" spans="8:38" x14ac:dyDescent="0.3">
      <c r="H219" t="str">
        <v>2022-06-01T20:04:13.907Z</v>
      </c>
      <c r="I219" t="str">
        <v>BBG000BS7KS3</v>
      </c>
      <c r="J219">
        <v>32840</v>
      </c>
      <c r="K219">
        <v>20220601</v>
      </c>
      <c r="L219" t="str">
        <v>TAP</v>
      </c>
      <c r="M219" t="str">
        <v>Molson Coors Beverage Company</v>
      </c>
      <c r="N219" t="str">
        <v>NYSE</v>
      </c>
      <c r="O219" t="str">
        <v>US60871R2094</v>
      </c>
      <c r="P219">
        <v>55.98</v>
      </c>
      <c r="Q219">
        <v>20327</v>
      </c>
      <c r="R219">
        <v>56.13</v>
      </c>
      <c r="S219" t="str">
        <v>09:30:29.419623680</v>
      </c>
      <c r="T219">
        <v>53.3</v>
      </c>
      <c r="U219" t="str">
        <v>11:50:14.512280576</v>
      </c>
      <c r="V219">
        <v>54.72</v>
      </c>
      <c r="W219">
        <v>320553</v>
      </c>
      <c r="X219">
        <v>1201599</v>
      </c>
      <c r="Y219">
        <v>18860</v>
      </c>
      <c r="Z219">
        <v>1202237</v>
      </c>
      <c r="AA219">
        <v>18873</v>
      </c>
      <c r="AB219">
        <v>352887</v>
      </c>
      <c r="AC219">
        <v>4743</v>
      </c>
      <c r="AD219">
        <v>396927</v>
      </c>
      <c r="AE219">
        <v>4812</v>
      </c>
      <c r="AF219">
        <v>2.7951004842999998</v>
      </c>
      <c r="AG219">
        <v>2</v>
      </c>
      <c r="AH219" t="e">
        <v>#N/A</v>
      </c>
      <c r="AI219" t="str">
        <v>None</v>
      </c>
      <c r="AJ219">
        <v>54.5</v>
      </c>
      <c r="AK219">
        <v>54.51</v>
      </c>
      <c r="AL219">
        <v>1.6540902008946404E+18</v>
      </c>
    </row>
    <row r="220" spans="8:38" x14ac:dyDescent="0.3">
      <c r="H220" t="str">
        <v>2022-06-01T20:04:15.080Z</v>
      </c>
      <c r="I220" t="str">
        <v>BBG000BY29C7</v>
      </c>
      <c r="J220">
        <v>35035</v>
      </c>
      <c r="K220">
        <v>20220601</v>
      </c>
      <c r="L220" t="str">
        <v>TPR</v>
      </c>
      <c r="M220" t="str">
        <v>Tapestry Inc</v>
      </c>
      <c r="N220" t="str">
        <v>NYSE</v>
      </c>
      <c r="O220" t="str">
        <v>US8760301072</v>
      </c>
      <c r="P220">
        <v>35.03</v>
      </c>
      <c r="Q220">
        <v>43945</v>
      </c>
      <c r="R220">
        <v>35.520000000000003</v>
      </c>
      <c r="S220" t="str">
        <v>09:32:12.600446720</v>
      </c>
      <c r="T220">
        <v>33.700000000000003</v>
      </c>
      <c r="U220" t="str">
        <v>12:04:19.283994880</v>
      </c>
      <c r="V220">
        <v>34.14</v>
      </c>
      <c r="W220">
        <v>422552</v>
      </c>
      <c r="X220">
        <v>2947297</v>
      </c>
      <c r="Y220">
        <v>34094</v>
      </c>
      <c r="Z220">
        <v>2951472</v>
      </c>
      <c r="AA220">
        <v>34145</v>
      </c>
      <c r="AB220">
        <v>774077</v>
      </c>
      <c r="AC220">
        <v>6333</v>
      </c>
      <c r="AD220">
        <v>883455</v>
      </c>
      <c r="AE220">
        <v>6386</v>
      </c>
      <c r="AF220">
        <v>1.3902963189999999</v>
      </c>
      <c r="AG220">
        <v>1</v>
      </c>
      <c r="AH220" t="e">
        <v>#N/A</v>
      </c>
      <c r="AI220" t="str">
        <v>None</v>
      </c>
      <c r="AJ220">
        <v>34.270000000000003</v>
      </c>
      <c r="AK220">
        <v>34.28</v>
      </c>
      <c r="AL220">
        <v>1.6540902007702093E+18</v>
      </c>
    </row>
    <row r="221" spans="8:38" x14ac:dyDescent="0.3">
      <c r="H221" t="str">
        <v>2022-06-02T20:04:07.067Z</v>
      </c>
      <c r="I221" t="str">
        <v>BBG000BS7KS3</v>
      </c>
      <c r="J221">
        <v>32840</v>
      </c>
      <c r="K221">
        <v>20220602</v>
      </c>
      <c r="L221" t="str">
        <v>TAP</v>
      </c>
      <c r="M221" t="str">
        <v>Molson Coors Beverage Company</v>
      </c>
      <c r="N221" t="str">
        <v>NYSE</v>
      </c>
      <c r="O221" t="str">
        <v>US60871R2094</v>
      </c>
      <c r="P221">
        <v>54.44</v>
      </c>
      <c r="Q221">
        <v>11019</v>
      </c>
      <c r="R221">
        <v>54.3</v>
      </c>
      <c r="S221" t="str">
        <v>09:31:20.844172032</v>
      </c>
      <c r="T221">
        <v>52.81</v>
      </c>
      <c r="U221" t="str">
        <v>10:27:00.238549248</v>
      </c>
      <c r="V221">
        <v>53.98</v>
      </c>
      <c r="W221">
        <v>132371</v>
      </c>
      <c r="X221">
        <v>802440</v>
      </c>
      <c r="Y221">
        <v>15557</v>
      </c>
      <c r="Z221">
        <v>802707</v>
      </c>
      <c r="AA221">
        <v>15563</v>
      </c>
      <c r="AB221">
        <v>308057</v>
      </c>
      <c r="AC221">
        <v>3580</v>
      </c>
      <c r="AD221">
        <v>366646</v>
      </c>
      <c r="AE221">
        <v>3623</v>
      </c>
      <c r="AF221">
        <v>2.8146466416</v>
      </c>
      <c r="AG221">
        <v>2</v>
      </c>
      <c r="AH221">
        <v>0.99305555560000003</v>
      </c>
      <c r="AI221" t="str">
        <v>CashDiv</v>
      </c>
      <c r="AJ221">
        <v>53.66</v>
      </c>
      <c r="AK221">
        <v>53.68</v>
      </c>
      <c r="AL221">
        <v>1.654176600905546E+18</v>
      </c>
    </row>
    <row r="222" spans="8:38" x14ac:dyDescent="0.3">
      <c r="H222" t="str">
        <v>2022-06-02T20:04:09.177Z</v>
      </c>
      <c r="I222" t="str">
        <v>BBG000BY29C7</v>
      </c>
      <c r="J222">
        <v>35035</v>
      </c>
      <c r="K222">
        <v>20220602</v>
      </c>
      <c r="L222" t="str">
        <v>TPR</v>
      </c>
      <c r="M222" t="str">
        <v>Tapestry Inc</v>
      </c>
      <c r="N222" t="str">
        <v>NYSE</v>
      </c>
      <c r="O222" t="str">
        <v>US8760301072</v>
      </c>
      <c r="P222">
        <v>34.44</v>
      </c>
      <c r="Q222">
        <v>23448</v>
      </c>
      <c r="R222">
        <v>35.229999999999997</v>
      </c>
      <c r="S222" t="str">
        <v>14:07:11.840624384</v>
      </c>
      <c r="T222">
        <v>34.380000000000003</v>
      </c>
      <c r="U222" t="str">
        <v>09:30:29.983473920</v>
      </c>
      <c r="V222">
        <v>35.159999999999997</v>
      </c>
      <c r="W222">
        <v>237375</v>
      </c>
      <c r="X222">
        <v>2214046</v>
      </c>
      <c r="Y222">
        <v>30866</v>
      </c>
      <c r="Z222">
        <v>2225838</v>
      </c>
      <c r="AA222">
        <v>30915</v>
      </c>
      <c r="AB222">
        <v>629595</v>
      </c>
      <c r="AC222">
        <v>6092</v>
      </c>
      <c r="AD222">
        <v>678469</v>
      </c>
      <c r="AE222">
        <v>6131</v>
      </c>
      <c r="AF222">
        <v>1.4005522670999999</v>
      </c>
      <c r="AG222">
        <v>1</v>
      </c>
      <c r="AH222">
        <v>0.99267721149999999</v>
      </c>
      <c r="AI222" t="str">
        <v>CashDiv</v>
      </c>
      <c r="AJ222">
        <v>34.92</v>
      </c>
      <c r="AK222">
        <v>34.92</v>
      </c>
      <c r="AL222">
        <v>1.6541766007434504E+18</v>
      </c>
    </row>
    <row r="223" spans="8:38" x14ac:dyDescent="0.3">
      <c r="H223" t="str">
        <v>2022-06-03T20:05:02.262Z</v>
      </c>
      <c r="I223" t="str">
        <v>BBG000BS7KS3</v>
      </c>
      <c r="J223">
        <v>32840</v>
      </c>
      <c r="K223">
        <v>20220603</v>
      </c>
      <c r="L223" t="str">
        <v>TAP</v>
      </c>
      <c r="M223" t="str">
        <v>Molson Coors Beverage Company</v>
      </c>
      <c r="N223" t="str">
        <v>NYSE</v>
      </c>
      <c r="O223" t="str">
        <v>US60871R2094</v>
      </c>
      <c r="P223">
        <v>53.98</v>
      </c>
      <c r="Q223">
        <v>12012</v>
      </c>
      <c r="R223">
        <v>54.08</v>
      </c>
      <c r="S223" t="str">
        <v>09:30:03.054736128</v>
      </c>
      <c r="T223">
        <v>53.43</v>
      </c>
      <c r="U223" t="str">
        <v>15:50:02.273540352</v>
      </c>
      <c r="V223">
        <v>53.56</v>
      </c>
      <c r="W223">
        <v>131143</v>
      </c>
      <c r="X223">
        <v>722091</v>
      </c>
      <c r="Y223">
        <v>14221</v>
      </c>
      <c r="Z223">
        <v>722206</v>
      </c>
      <c r="AA223">
        <v>14227</v>
      </c>
      <c r="AB223">
        <v>210677</v>
      </c>
      <c r="AC223">
        <v>3525</v>
      </c>
      <c r="AD223">
        <v>263240</v>
      </c>
      <c r="AE223">
        <v>3545</v>
      </c>
      <c r="AF223">
        <v>2.8146466416</v>
      </c>
      <c r="AG223">
        <v>2</v>
      </c>
      <c r="AH223" t="e">
        <v>#N/A</v>
      </c>
      <c r="AI223" t="str">
        <v>None</v>
      </c>
      <c r="AJ223">
        <v>53.74</v>
      </c>
      <c r="AK223">
        <v>53.73</v>
      </c>
      <c r="AL223">
        <v>1.6542630010376781E+18</v>
      </c>
    </row>
    <row r="224" spans="8:38" x14ac:dyDescent="0.3">
      <c r="H224" t="str">
        <v>2022-06-03T20:05:04.504Z</v>
      </c>
      <c r="I224" t="str">
        <v>BBG000BY29C7</v>
      </c>
      <c r="J224">
        <v>35035</v>
      </c>
      <c r="K224">
        <v>20220603</v>
      </c>
      <c r="L224" t="str">
        <v>TPR</v>
      </c>
      <c r="M224" t="str">
        <v>Tapestry Inc</v>
      </c>
      <c r="N224" t="str">
        <v>NYSE</v>
      </c>
      <c r="O224" t="str">
        <v>US8760301072</v>
      </c>
      <c r="P224">
        <v>34.61</v>
      </c>
      <c r="Q224">
        <v>24317</v>
      </c>
      <c r="R224">
        <v>35.299999999999997</v>
      </c>
      <c r="S224" t="str">
        <v>13:07:09.141850624</v>
      </c>
      <c r="T224">
        <v>34.5</v>
      </c>
      <c r="U224" t="str">
        <v>09:36:26.433187840</v>
      </c>
      <c r="V224">
        <v>34.880000000000003</v>
      </c>
      <c r="W224">
        <v>184116</v>
      </c>
      <c r="X224">
        <v>1846169</v>
      </c>
      <c r="Y224">
        <v>27893</v>
      </c>
      <c r="Z224">
        <v>1846468</v>
      </c>
      <c r="AA224">
        <v>27904</v>
      </c>
      <c r="AB224">
        <v>317384</v>
      </c>
      <c r="AC224">
        <v>4369</v>
      </c>
      <c r="AD224">
        <v>355585</v>
      </c>
      <c r="AE224">
        <v>4402</v>
      </c>
      <c r="AF224">
        <v>1.4005522670999999</v>
      </c>
      <c r="AG224">
        <v>1</v>
      </c>
      <c r="AH224" t="e">
        <v>#N/A</v>
      </c>
      <c r="AI224" t="str">
        <v>None</v>
      </c>
      <c r="AJ224">
        <v>34.97</v>
      </c>
      <c r="AK224">
        <v>34.97</v>
      </c>
      <c r="AL224">
        <v>1.6542630007625741E+18</v>
      </c>
    </row>
    <row r="225" spans="8:38" x14ac:dyDescent="0.3">
      <c r="H225" t="str">
        <v>2022-06-06T20:04:03.117Z</v>
      </c>
      <c r="I225" t="str">
        <v>BBG000BS7KS3</v>
      </c>
      <c r="J225">
        <v>32840</v>
      </c>
      <c r="K225">
        <v>20220606</v>
      </c>
      <c r="L225" t="str">
        <v>TAP</v>
      </c>
      <c r="M225" t="str">
        <v>Molson Coors Beverage Company</v>
      </c>
      <c r="N225" t="str">
        <v>NYSE</v>
      </c>
      <c r="O225" t="str">
        <v>US60871R2094</v>
      </c>
      <c r="P225">
        <v>53.97</v>
      </c>
      <c r="Q225">
        <v>8906</v>
      </c>
      <c r="R225">
        <v>54.22</v>
      </c>
      <c r="S225" t="str">
        <v>10:49:31.208818944</v>
      </c>
      <c r="T225">
        <v>53.48</v>
      </c>
      <c r="U225" t="str">
        <v>12:08:06.639952896</v>
      </c>
      <c r="V225">
        <v>54.06</v>
      </c>
      <c r="W225">
        <v>112126</v>
      </c>
      <c r="X225">
        <v>640587</v>
      </c>
      <c r="Y225">
        <v>11672</v>
      </c>
      <c r="Z225">
        <v>640651</v>
      </c>
      <c r="AA225">
        <v>11683</v>
      </c>
      <c r="AB225">
        <v>275176</v>
      </c>
      <c r="AC225">
        <v>3409</v>
      </c>
      <c r="AD225">
        <v>330167</v>
      </c>
      <c r="AE225">
        <v>3438</v>
      </c>
      <c r="AF225">
        <v>2.8146466416</v>
      </c>
      <c r="AG225">
        <v>2</v>
      </c>
      <c r="AH225" t="e">
        <v>#N/A</v>
      </c>
      <c r="AI225" t="str">
        <v>None</v>
      </c>
      <c r="AJ225">
        <v>53.89</v>
      </c>
      <c r="AK225">
        <v>53.9</v>
      </c>
      <c r="AL225">
        <v>1.654522200980373E+18</v>
      </c>
    </row>
    <row r="226" spans="8:38" x14ac:dyDescent="0.3">
      <c r="H226" t="str">
        <v>2022-06-06T20:04:07.488Z</v>
      </c>
      <c r="I226" t="str">
        <v>BBG000BY29C7</v>
      </c>
      <c r="J226">
        <v>35035</v>
      </c>
      <c r="K226">
        <v>20220606</v>
      </c>
      <c r="L226" t="str">
        <v>TPR</v>
      </c>
      <c r="M226" t="str">
        <v>Tapestry Inc</v>
      </c>
      <c r="N226" t="str">
        <v>NYSE</v>
      </c>
      <c r="O226" t="str">
        <v>US8760301072</v>
      </c>
      <c r="P226">
        <v>34.950000000000003</v>
      </c>
      <c r="Q226">
        <v>19564</v>
      </c>
      <c r="R226">
        <v>35.19</v>
      </c>
      <c r="S226" t="str">
        <v>09:30:03.968835584</v>
      </c>
      <c r="T226">
        <v>34.31</v>
      </c>
      <c r="U226" t="str">
        <v>14:39:23.934361856</v>
      </c>
      <c r="V226">
        <v>34.619999999999997</v>
      </c>
      <c r="W226">
        <v>164127</v>
      </c>
      <c r="X226">
        <v>2582506</v>
      </c>
      <c r="Y226">
        <v>32336</v>
      </c>
      <c r="Z226">
        <v>2582910</v>
      </c>
      <c r="AA226">
        <v>32345</v>
      </c>
      <c r="AB226">
        <v>1358448</v>
      </c>
      <c r="AC226">
        <v>5781</v>
      </c>
      <c r="AD226">
        <v>1393097</v>
      </c>
      <c r="AE226">
        <v>5819</v>
      </c>
      <c r="AF226">
        <v>1.4005522670999999</v>
      </c>
      <c r="AG226">
        <v>1</v>
      </c>
      <c r="AH226" t="e">
        <v>#N/A</v>
      </c>
      <c r="AI226" t="str">
        <v>None</v>
      </c>
      <c r="AJ226">
        <v>34.700000000000003</v>
      </c>
      <c r="AK226">
        <v>34.700000000000003</v>
      </c>
      <c r="AL226">
        <v>1.6545222008192197E+18</v>
      </c>
    </row>
    <row r="227" spans="8:38" x14ac:dyDescent="0.3">
      <c r="H227" t="str">
        <v>2022-06-07T20:04:51.984Z</v>
      </c>
      <c r="I227" t="str">
        <v>BBG000BS7KS3</v>
      </c>
      <c r="J227">
        <v>32840</v>
      </c>
      <c r="K227">
        <v>20220607</v>
      </c>
      <c r="L227" t="str">
        <v>TAP</v>
      </c>
      <c r="M227" t="str">
        <v>Molson Coors Beverage Company</v>
      </c>
      <c r="N227" t="str">
        <v>NYSE</v>
      </c>
      <c r="O227" t="str">
        <v>US60871R2094</v>
      </c>
      <c r="P227">
        <v>53.73</v>
      </c>
      <c r="Q227">
        <v>15681</v>
      </c>
      <c r="R227">
        <v>54.78</v>
      </c>
      <c r="S227" t="str">
        <v>15:55:03.751849984</v>
      </c>
      <c r="T227">
        <v>53.6</v>
      </c>
      <c r="U227" t="str">
        <v>09:49:37.408939520</v>
      </c>
      <c r="V227">
        <v>54.65</v>
      </c>
      <c r="W227">
        <v>130352</v>
      </c>
      <c r="X227">
        <v>650213</v>
      </c>
      <c r="Y227">
        <v>12384</v>
      </c>
      <c r="Z227">
        <v>650328</v>
      </c>
      <c r="AA227">
        <v>12389</v>
      </c>
      <c r="AB227">
        <v>241537</v>
      </c>
      <c r="AC227">
        <v>3066</v>
      </c>
      <c r="AD227">
        <v>309159</v>
      </c>
      <c r="AE227">
        <v>3115</v>
      </c>
      <c r="AF227">
        <v>2.8146466416</v>
      </c>
      <c r="AG227">
        <v>2</v>
      </c>
      <c r="AH227" t="e">
        <v>#N/A</v>
      </c>
      <c r="AI227" t="str">
        <v>None</v>
      </c>
      <c r="AJ227">
        <v>54.32</v>
      </c>
      <c r="AK227">
        <v>54.35</v>
      </c>
      <c r="AL227">
        <v>1.6546086008637286E+18</v>
      </c>
    </row>
    <row r="228" spans="8:38" x14ac:dyDescent="0.3">
      <c r="H228" t="str">
        <v>2022-06-07T20:04:54.462Z</v>
      </c>
      <c r="I228" t="str">
        <v>BBG000BY29C7</v>
      </c>
      <c r="J228">
        <v>35035</v>
      </c>
      <c r="K228">
        <v>20220607</v>
      </c>
      <c r="L228" t="str">
        <v>TPR</v>
      </c>
      <c r="M228" t="str">
        <v>Tapestry Inc</v>
      </c>
      <c r="N228" t="str">
        <v>NYSE</v>
      </c>
      <c r="O228" t="str">
        <v>US8760301072</v>
      </c>
      <c r="P228">
        <v>33.86</v>
      </c>
      <c r="Q228">
        <v>28873</v>
      </c>
      <c r="R228">
        <v>35.200000000000003</v>
      </c>
      <c r="S228" t="str">
        <v>11:12:01.658878976</v>
      </c>
      <c r="T228">
        <v>33.479999999999997</v>
      </c>
      <c r="U228" t="str">
        <v>09:30:42.561027840</v>
      </c>
      <c r="V228">
        <v>34.89</v>
      </c>
      <c r="W228">
        <v>272111</v>
      </c>
      <c r="X228">
        <v>2356222</v>
      </c>
      <c r="Y228">
        <v>27355</v>
      </c>
      <c r="Z228">
        <v>2357685</v>
      </c>
      <c r="AA228">
        <v>27377</v>
      </c>
      <c r="AB228">
        <v>684165</v>
      </c>
      <c r="AC228">
        <v>5367</v>
      </c>
      <c r="AD228">
        <v>777448</v>
      </c>
      <c r="AE228">
        <v>5395</v>
      </c>
      <c r="AF228">
        <v>1.4005522670999999</v>
      </c>
      <c r="AG228">
        <v>1</v>
      </c>
      <c r="AH228" t="e">
        <v>#N/A</v>
      </c>
      <c r="AI228" t="str">
        <v>None</v>
      </c>
      <c r="AJ228">
        <v>34.85</v>
      </c>
      <c r="AK228">
        <v>34.85</v>
      </c>
      <c r="AL228">
        <v>1.6546086425584317E+18</v>
      </c>
    </row>
    <row r="229" spans="8:38" x14ac:dyDescent="0.3">
      <c r="H229" t="str">
        <v>2022-06-08T20:03:54.934Z</v>
      </c>
      <c r="I229" t="str">
        <v>BBG000BS7KS3</v>
      </c>
      <c r="J229">
        <v>32840</v>
      </c>
      <c r="K229">
        <v>20220608</v>
      </c>
      <c r="L229" t="str">
        <v>TAP</v>
      </c>
      <c r="M229" t="str">
        <v>Molson Coors Beverage Company</v>
      </c>
      <c r="N229" t="str">
        <v>NYSE</v>
      </c>
      <c r="O229" t="str">
        <v>US60871R2094</v>
      </c>
      <c r="P229">
        <v>54.39</v>
      </c>
      <c r="Q229">
        <v>13162</v>
      </c>
      <c r="R229">
        <v>54.91</v>
      </c>
      <c r="S229" t="str">
        <v>12:16:55.147501056</v>
      </c>
      <c r="T229">
        <v>53.87</v>
      </c>
      <c r="U229" t="str">
        <v>15:58:12.875275264</v>
      </c>
      <c r="V229">
        <v>53.93</v>
      </c>
      <c r="W229">
        <v>105615</v>
      </c>
      <c r="X229">
        <v>492343</v>
      </c>
      <c r="Y229">
        <v>10354</v>
      </c>
      <c r="Z229">
        <v>492347</v>
      </c>
      <c r="AA229">
        <v>10357</v>
      </c>
      <c r="AB229">
        <v>178543</v>
      </c>
      <c r="AC229">
        <v>2881</v>
      </c>
      <c r="AD229">
        <v>217105</v>
      </c>
      <c r="AE229">
        <v>2933</v>
      </c>
      <c r="AF229">
        <v>2.8146466416</v>
      </c>
      <c r="AG229">
        <v>2</v>
      </c>
      <c r="AH229" t="e">
        <v>#N/A</v>
      </c>
      <c r="AI229" t="str">
        <v>None</v>
      </c>
      <c r="AJ229">
        <v>54.27</v>
      </c>
      <c r="AK229">
        <v>54.25</v>
      </c>
      <c r="AL229">
        <v>1.6546950010194186E+18</v>
      </c>
    </row>
    <row r="230" spans="8:38" x14ac:dyDescent="0.3">
      <c r="H230" t="str">
        <v>2022-06-08T20:03:58.620Z</v>
      </c>
      <c r="I230" t="str">
        <v>BBG000BY29C7</v>
      </c>
      <c r="J230">
        <v>35035</v>
      </c>
      <c r="K230">
        <v>20220608</v>
      </c>
      <c r="L230" t="str">
        <v>TPR</v>
      </c>
      <c r="M230" t="str">
        <v>Tapestry Inc</v>
      </c>
      <c r="N230" t="str">
        <v>NYSE</v>
      </c>
      <c r="O230" t="str">
        <v>US8760301072</v>
      </c>
      <c r="P230">
        <v>34.5</v>
      </c>
      <c r="Q230">
        <v>16872</v>
      </c>
      <c r="R230">
        <v>35.19</v>
      </c>
      <c r="S230" t="str">
        <v>12:03:13.303189248</v>
      </c>
      <c r="T230">
        <v>34.28</v>
      </c>
      <c r="U230" t="str">
        <v>09:41:00.677241600</v>
      </c>
      <c r="V230">
        <v>34.81</v>
      </c>
      <c r="W230">
        <v>487429</v>
      </c>
      <c r="X230">
        <v>2805073</v>
      </c>
      <c r="Y230">
        <v>29243</v>
      </c>
      <c r="Z230">
        <v>2805114</v>
      </c>
      <c r="AA230">
        <v>29246</v>
      </c>
      <c r="AB230">
        <v>526831</v>
      </c>
      <c r="AC230">
        <v>4718</v>
      </c>
      <c r="AD230">
        <v>564039</v>
      </c>
      <c r="AE230">
        <v>4763</v>
      </c>
      <c r="AF230">
        <v>1.4005522670999999</v>
      </c>
      <c r="AG230">
        <v>1</v>
      </c>
      <c r="AH230" t="e">
        <v>#N/A</v>
      </c>
      <c r="AI230" t="str">
        <v>None</v>
      </c>
      <c r="AJ230">
        <v>34.880000000000003</v>
      </c>
      <c r="AK230">
        <v>34.880000000000003</v>
      </c>
      <c r="AL230">
        <v>1.6546950008120804E+18</v>
      </c>
    </row>
    <row r="231" spans="8:38" x14ac:dyDescent="0.3">
      <c r="H231" t="str">
        <v>2022-06-09T20:03:48.583Z</v>
      </c>
      <c r="I231" t="str">
        <v>BBG000BS7KS3</v>
      </c>
      <c r="J231">
        <v>32840</v>
      </c>
      <c r="K231">
        <v>20220609</v>
      </c>
      <c r="L231" t="str">
        <v>TAP</v>
      </c>
      <c r="M231" t="str">
        <v>Molson Coors Beverage Company</v>
      </c>
      <c r="N231" t="str">
        <v>NYSE</v>
      </c>
      <c r="O231" t="str">
        <v>US60871R2094</v>
      </c>
      <c r="P231">
        <v>53.96</v>
      </c>
      <c r="Q231">
        <v>13410</v>
      </c>
      <c r="R231">
        <v>54.24</v>
      </c>
      <c r="S231" t="str">
        <v>09:52:12.153762816</v>
      </c>
      <c r="T231">
        <v>52.41</v>
      </c>
      <c r="U231" t="str">
        <v>15:59:38.091637760</v>
      </c>
      <c r="V231">
        <v>52.41</v>
      </c>
      <c r="W231">
        <v>136155</v>
      </c>
      <c r="X231">
        <v>571611</v>
      </c>
      <c r="Y231">
        <v>11115</v>
      </c>
      <c r="Z231">
        <v>572463</v>
      </c>
      <c r="AA231">
        <v>11130</v>
      </c>
      <c r="AB231">
        <v>204118</v>
      </c>
      <c r="AC231">
        <v>2605</v>
      </c>
      <c r="AD231">
        <v>218123</v>
      </c>
      <c r="AE231">
        <v>2648</v>
      </c>
      <c r="AF231">
        <v>2.8146466416</v>
      </c>
      <c r="AG231">
        <v>2</v>
      </c>
      <c r="AH231" t="e">
        <v>#N/A</v>
      </c>
      <c r="AI231" t="str">
        <v>None</v>
      </c>
      <c r="AJ231">
        <v>53.03</v>
      </c>
      <c r="AK231">
        <v>53.02</v>
      </c>
      <c r="AL231">
        <v>1.6547814009732803E+18</v>
      </c>
    </row>
    <row r="232" spans="8:38" x14ac:dyDescent="0.3">
      <c r="H232" t="str">
        <v>2022-06-09T20:03:51.272Z</v>
      </c>
      <c r="I232" t="str">
        <v>BBG000BY29C7</v>
      </c>
      <c r="J232">
        <v>35035</v>
      </c>
      <c r="K232">
        <v>20220609</v>
      </c>
      <c r="L232" t="str">
        <v>TPR</v>
      </c>
      <c r="M232" t="str">
        <v>Tapestry Inc</v>
      </c>
      <c r="N232" t="str">
        <v>NYSE</v>
      </c>
      <c r="O232" t="str">
        <v>US8760301072</v>
      </c>
      <c r="P232">
        <v>34.49</v>
      </c>
      <c r="Q232">
        <v>21303</v>
      </c>
      <c r="R232">
        <v>34.840000000000003</v>
      </c>
      <c r="S232" t="str">
        <v>10:31:58.668839168</v>
      </c>
      <c r="T232">
        <v>34.21</v>
      </c>
      <c r="U232" t="str">
        <v>09:39:55.370877184</v>
      </c>
      <c r="V232">
        <v>34.340000000000003</v>
      </c>
      <c r="W232">
        <v>228282</v>
      </c>
      <c r="X232">
        <v>2126910</v>
      </c>
      <c r="Y232">
        <v>31028</v>
      </c>
      <c r="Z232">
        <v>2129081</v>
      </c>
      <c r="AA232">
        <v>31059</v>
      </c>
      <c r="AB232">
        <v>425519</v>
      </c>
      <c r="AC232">
        <v>4171</v>
      </c>
      <c r="AD232">
        <v>443539</v>
      </c>
      <c r="AE232">
        <v>4201</v>
      </c>
      <c r="AF232">
        <v>1.4005522670999999</v>
      </c>
      <c r="AG232">
        <v>1</v>
      </c>
      <c r="AH232" t="e">
        <v>#N/A</v>
      </c>
      <c r="AI232" t="str">
        <v>None</v>
      </c>
      <c r="AJ232">
        <v>34.5</v>
      </c>
      <c r="AK232">
        <v>34.49</v>
      </c>
      <c r="AL232">
        <v>1.6547814008161265E+18</v>
      </c>
    </row>
    <row r="233" spans="8:38" x14ac:dyDescent="0.3">
      <c r="H233" t="str">
        <v>2022-06-10T20:03:54.905Z</v>
      </c>
      <c r="I233" t="str">
        <v>BBG000BY29C7</v>
      </c>
      <c r="J233">
        <v>35035</v>
      </c>
      <c r="K233">
        <v>20220610</v>
      </c>
      <c r="L233" t="str">
        <v>TPR</v>
      </c>
      <c r="M233" t="str">
        <v>Tapestry Inc</v>
      </c>
      <c r="N233" t="str">
        <v>NYSE</v>
      </c>
      <c r="O233" t="str">
        <v>US8760301072</v>
      </c>
      <c r="P233">
        <v>33.549999999999997</v>
      </c>
      <c r="Q233">
        <v>19103</v>
      </c>
      <c r="R233">
        <v>33.83</v>
      </c>
      <c r="S233" t="str">
        <v>09:44:59.654418176</v>
      </c>
      <c r="T233">
        <v>32.68</v>
      </c>
      <c r="U233" t="str">
        <v>11:50:10.959291392</v>
      </c>
      <c r="V233">
        <v>32.700000000000003</v>
      </c>
      <c r="W233">
        <v>351941</v>
      </c>
      <c r="X233">
        <v>3286889</v>
      </c>
      <c r="Y233">
        <v>35844</v>
      </c>
      <c r="Z233">
        <v>3288800</v>
      </c>
      <c r="AA233">
        <v>35859</v>
      </c>
      <c r="AB233">
        <v>718023</v>
      </c>
      <c r="AC233">
        <v>7275</v>
      </c>
      <c r="AD233">
        <v>745824</v>
      </c>
      <c r="AE233">
        <v>7302</v>
      </c>
      <c r="AF233">
        <v>1.4005522670999999</v>
      </c>
      <c r="AG233">
        <v>1</v>
      </c>
      <c r="AH233" t="e">
        <v>#N/A</v>
      </c>
      <c r="AI233" t="str">
        <v>None</v>
      </c>
      <c r="AJ233">
        <v>32.97</v>
      </c>
      <c r="AK233">
        <v>32.97</v>
      </c>
      <c r="AL233">
        <v>1.6548678008490949E+18</v>
      </c>
    </row>
    <row r="234" spans="8:38" x14ac:dyDescent="0.3">
      <c r="H234" t="str">
        <v>2022-06-10T20:03:58.103Z</v>
      </c>
      <c r="I234" t="str">
        <v>BBG000BS7KS3</v>
      </c>
      <c r="J234">
        <v>32840</v>
      </c>
      <c r="K234">
        <v>20220610</v>
      </c>
      <c r="L234" t="str">
        <v>TAP</v>
      </c>
      <c r="M234" t="str">
        <v>Molson Coors Beverage Company</v>
      </c>
      <c r="N234" t="str">
        <v>NYSE</v>
      </c>
      <c r="O234" t="str">
        <v>US60871R2094</v>
      </c>
      <c r="P234">
        <v>51.52</v>
      </c>
      <c r="Q234">
        <v>19929</v>
      </c>
      <c r="R234">
        <v>52.84</v>
      </c>
      <c r="S234" t="str">
        <v>11:13:00.732865536</v>
      </c>
      <c r="T234">
        <v>51.09</v>
      </c>
      <c r="U234" t="str">
        <v>09:35:55.004394496</v>
      </c>
      <c r="V234">
        <v>52.34</v>
      </c>
      <c r="W234">
        <v>152672</v>
      </c>
      <c r="X234">
        <v>661812</v>
      </c>
      <c r="Y234">
        <v>11617</v>
      </c>
      <c r="Z234">
        <v>663203</v>
      </c>
      <c r="AA234">
        <v>11643</v>
      </c>
      <c r="AB234">
        <v>220528</v>
      </c>
      <c r="AC234">
        <v>3268</v>
      </c>
      <c r="AD234">
        <v>244712</v>
      </c>
      <c r="AE234">
        <v>3318</v>
      </c>
      <c r="AF234">
        <v>2.8146466416</v>
      </c>
      <c r="AG234">
        <v>2</v>
      </c>
      <c r="AH234" t="e">
        <v>#N/A</v>
      </c>
      <c r="AI234" t="str">
        <v>None</v>
      </c>
      <c r="AJ234">
        <v>52.35</v>
      </c>
      <c r="AK234">
        <v>52.35</v>
      </c>
      <c r="AL234">
        <v>1.654867801030306E+18</v>
      </c>
    </row>
    <row r="235" spans="8:38" x14ac:dyDescent="0.3">
      <c r="H235" t="str">
        <v>2022-06-13T20:05:29.339Z</v>
      </c>
      <c r="I235" t="str">
        <v>BBG000BS7KS3</v>
      </c>
      <c r="J235">
        <v>32840</v>
      </c>
      <c r="K235">
        <v>20220613</v>
      </c>
      <c r="L235" t="str">
        <v>TAP</v>
      </c>
      <c r="M235" t="str">
        <v>Molson Coors Beverage Company</v>
      </c>
      <c r="N235" t="str">
        <v>NYSE</v>
      </c>
      <c r="O235" t="str">
        <v>US60871R2094</v>
      </c>
      <c r="P235">
        <v>51.69</v>
      </c>
      <c r="Q235">
        <v>24006</v>
      </c>
      <c r="R235">
        <v>52.12</v>
      </c>
      <c r="S235" t="str">
        <v>09:35:30.365241344</v>
      </c>
      <c r="T235">
        <v>50.31</v>
      </c>
      <c r="U235" t="str">
        <v>15:51:06.348122880</v>
      </c>
      <c r="V235">
        <v>50.63</v>
      </c>
      <c r="W235">
        <v>187748</v>
      </c>
      <c r="X235">
        <v>1100044</v>
      </c>
      <c r="Y235">
        <v>16367</v>
      </c>
      <c r="Z235">
        <v>1101846</v>
      </c>
      <c r="AA235">
        <v>16391</v>
      </c>
      <c r="AB235">
        <v>450665</v>
      </c>
      <c r="AC235">
        <v>5898</v>
      </c>
      <c r="AD235">
        <v>467999</v>
      </c>
      <c r="AE235">
        <v>5935</v>
      </c>
      <c r="AF235">
        <v>2.8146466416</v>
      </c>
      <c r="AG235">
        <v>2</v>
      </c>
      <c r="AH235" t="e">
        <v>#N/A</v>
      </c>
      <c r="AI235" t="str">
        <v>None</v>
      </c>
      <c r="AJ235">
        <v>50.97</v>
      </c>
      <c r="AK235">
        <v>50.96</v>
      </c>
      <c r="AL235">
        <v>1.6551270010495345E+18</v>
      </c>
    </row>
    <row r="236" spans="8:38" x14ac:dyDescent="0.3">
      <c r="H236" t="str">
        <v>2022-06-13T20:05:31.937Z</v>
      </c>
      <c r="I236" t="str">
        <v>BBG000BY29C7</v>
      </c>
      <c r="J236">
        <v>35035</v>
      </c>
      <c r="K236">
        <v>20220613</v>
      </c>
      <c r="L236" t="str">
        <v>TPR</v>
      </c>
      <c r="M236" t="str">
        <v>Tapestry Inc</v>
      </c>
      <c r="N236" t="str">
        <v>NYSE</v>
      </c>
      <c r="O236" t="str">
        <v>US8760301072</v>
      </c>
      <c r="P236">
        <v>31.62</v>
      </c>
      <c r="Q236">
        <v>28766</v>
      </c>
      <c r="R236">
        <v>31.93</v>
      </c>
      <c r="S236" t="str">
        <v>09:35:07.607887616</v>
      </c>
      <c r="T236">
        <v>30.37</v>
      </c>
      <c r="U236" t="str">
        <v>11:05:06.481331456</v>
      </c>
      <c r="V236">
        <v>30.93</v>
      </c>
      <c r="W236">
        <v>318240</v>
      </c>
      <c r="X236">
        <v>3554751</v>
      </c>
      <c r="Y236">
        <v>35701</v>
      </c>
      <c r="Z236">
        <v>3557086</v>
      </c>
      <c r="AA236">
        <v>35725</v>
      </c>
      <c r="AB236">
        <v>1166868</v>
      </c>
      <c r="AC236">
        <v>7916</v>
      </c>
      <c r="AD236">
        <v>1214312</v>
      </c>
      <c r="AE236">
        <v>7959</v>
      </c>
      <c r="AF236">
        <v>1.4005522670999999</v>
      </c>
      <c r="AG236">
        <v>1</v>
      </c>
      <c r="AH236" t="e">
        <v>#N/A</v>
      </c>
      <c r="AI236" t="str">
        <v>None</v>
      </c>
      <c r="AJ236">
        <v>31</v>
      </c>
      <c r="AK236">
        <v>31</v>
      </c>
      <c r="AL236">
        <v>1.6551270008857249E+18</v>
      </c>
    </row>
    <row r="237" spans="8:38" x14ac:dyDescent="0.3">
      <c r="H237" t="str">
        <v>2022-06-14T20:04:48.800Z</v>
      </c>
      <c r="I237" t="str">
        <v>BBG000BS7KS3</v>
      </c>
      <c r="J237">
        <v>32840</v>
      </c>
      <c r="K237">
        <v>20220614</v>
      </c>
      <c r="L237" t="str">
        <v>TAP</v>
      </c>
      <c r="M237" t="str">
        <v>Molson Coors Beverage Company</v>
      </c>
      <c r="N237" t="str">
        <v>NYSE</v>
      </c>
      <c r="O237" t="str">
        <v>US60871R2094</v>
      </c>
      <c r="P237">
        <v>50.65</v>
      </c>
      <c r="Q237">
        <v>17512</v>
      </c>
      <c r="R237">
        <v>51.6</v>
      </c>
      <c r="S237" t="str">
        <v>11:06:17.460899072</v>
      </c>
      <c r="T237">
        <v>50.41</v>
      </c>
      <c r="U237" t="str">
        <v>09:33:46.591584256</v>
      </c>
      <c r="V237">
        <v>51.36</v>
      </c>
      <c r="W237">
        <v>229718</v>
      </c>
      <c r="X237">
        <v>940015</v>
      </c>
      <c r="Y237">
        <v>14959</v>
      </c>
      <c r="Z237">
        <v>940238</v>
      </c>
      <c r="AA237">
        <v>14967</v>
      </c>
      <c r="AB237">
        <v>573826</v>
      </c>
      <c r="AC237">
        <v>4811</v>
      </c>
      <c r="AD237">
        <v>640395</v>
      </c>
      <c r="AE237">
        <v>4856</v>
      </c>
      <c r="AF237">
        <v>2.8146466416</v>
      </c>
      <c r="AG237">
        <v>2</v>
      </c>
      <c r="AH237" t="e">
        <v>#N/A</v>
      </c>
      <c r="AI237" t="str">
        <v>None</v>
      </c>
      <c r="AJ237">
        <v>51.21</v>
      </c>
      <c r="AK237">
        <v>51.22</v>
      </c>
      <c r="AL237">
        <v>1.655213400937514E+18</v>
      </c>
    </row>
    <row r="238" spans="8:38" x14ac:dyDescent="0.3">
      <c r="H238" t="str">
        <v>2022-06-14T20:05:06.670Z</v>
      </c>
      <c r="I238" t="str">
        <v>BBG000BY29C7</v>
      </c>
      <c r="J238">
        <v>35035</v>
      </c>
      <c r="K238">
        <v>20220614</v>
      </c>
      <c r="L238" t="str">
        <v>TPR</v>
      </c>
      <c r="M238" t="str">
        <v>Tapestry Inc</v>
      </c>
      <c r="N238" t="str">
        <v>NYSE</v>
      </c>
      <c r="O238" t="str">
        <v>US8760301072</v>
      </c>
      <c r="P238">
        <v>31.02</v>
      </c>
      <c r="Q238">
        <v>35444</v>
      </c>
      <c r="R238">
        <v>32.090000000000003</v>
      </c>
      <c r="S238" t="str">
        <v>11:58:32.860033792</v>
      </c>
      <c r="T238">
        <v>30.97</v>
      </c>
      <c r="U238" t="str">
        <v>09:30:01.835685376</v>
      </c>
      <c r="V238">
        <v>31.6</v>
      </c>
      <c r="W238">
        <v>283368</v>
      </c>
      <c r="X238">
        <v>2898872</v>
      </c>
      <c r="Y238">
        <v>35195</v>
      </c>
      <c r="Z238">
        <v>2901202</v>
      </c>
      <c r="AA238">
        <v>35213</v>
      </c>
      <c r="AB238">
        <v>716542</v>
      </c>
      <c r="AC238">
        <v>6308</v>
      </c>
      <c r="AD238">
        <v>1096887</v>
      </c>
      <c r="AE238">
        <v>6354</v>
      </c>
      <c r="AF238">
        <v>1.4005522670999999</v>
      </c>
      <c r="AG238">
        <v>1</v>
      </c>
      <c r="AH238" t="e">
        <v>#N/A</v>
      </c>
      <c r="AI238" t="str">
        <v>None</v>
      </c>
      <c r="AJ238">
        <v>31.7</v>
      </c>
      <c r="AK238">
        <v>31.68</v>
      </c>
      <c r="AL238">
        <v>1.6552134010097208E+18</v>
      </c>
    </row>
    <row r="239" spans="8:38" x14ac:dyDescent="0.3">
      <c r="H239" t="str">
        <v>2022-06-15T20:03:57.195Z</v>
      </c>
      <c r="I239" t="str">
        <v>BBG000BS7KS3</v>
      </c>
      <c r="J239">
        <v>32840</v>
      </c>
      <c r="K239">
        <v>20220615</v>
      </c>
      <c r="L239" t="str">
        <v>TAP</v>
      </c>
      <c r="M239" t="str">
        <v>Molson Coors Beverage Company</v>
      </c>
      <c r="N239" t="str">
        <v>NYSE</v>
      </c>
      <c r="O239" t="str">
        <v>US60871R2094</v>
      </c>
      <c r="P239">
        <v>51.83</v>
      </c>
      <c r="Q239">
        <v>14597</v>
      </c>
      <c r="R239">
        <v>52.3</v>
      </c>
      <c r="S239" t="str">
        <v>14:44:22.426123008</v>
      </c>
      <c r="T239">
        <v>51.23</v>
      </c>
      <c r="U239" t="str">
        <v>14:33:19.164378368</v>
      </c>
      <c r="V239">
        <v>51.82</v>
      </c>
      <c r="W239">
        <v>268776</v>
      </c>
      <c r="X239">
        <v>954205</v>
      </c>
      <c r="Y239">
        <v>15207</v>
      </c>
      <c r="Z239">
        <v>954380</v>
      </c>
      <c r="AA239">
        <v>15211</v>
      </c>
      <c r="AB239">
        <v>341136</v>
      </c>
      <c r="AC239">
        <v>4536</v>
      </c>
      <c r="AD239">
        <v>431855</v>
      </c>
      <c r="AE239">
        <v>4579</v>
      </c>
      <c r="AF239">
        <v>2.8146466416</v>
      </c>
      <c r="AG239">
        <v>2</v>
      </c>
      <c r="AH239" t="e">
        <v>#N/A</v>
      </c>
      <c r="AI239" t="str">
        <v>None</v>
      </c>
      <c r="AJ239">
        <v>51.86</v>
      </c>
      <c r="AK239">
        <v>51.86</v>
      </c>
      <c r="AL239">
        <v>1.6552998009664868E+18</v>
      </c>
    </row>
    <row r="240" spans="8:38" x14ac:dyDescent="0.3">
      <c r="H240" t="str">
        <v>2022-06-15T20:04:00.467Z</v>
      </c>
      <c r="I240" t="str">
        <v>BBG000BY29C7</v>
      </c>
      <c r="J240">
        <v>35035</v>
      </c>
      <c r="K240">
        <v>20220615</v>
      </c>
      <c r="L240" t="str">
        <v>TPR</v>
      </c>
      <c r="M240" t="str">
        <v>Tapestry Inc</v>
      </c>
      <c r="N240" t="str">
        <v>NYSE</v>
      </c>
      <c r="O240" t="str">
        <v>US8760301072</v>
      </c>
      <c r="P240">
        <v>32.64</v>
      </c>
      <c r="Q240">
        <v>75274</v>
      </c>
      <c r="R240">
        <v>33.28</v>
      </c>
      <c r="S240" t="str">
        <v>10:22:38.936159744</v>
      </c>
      <c r="T240">
        <v>32.18</v>
      </c>
      <c r="U240" t="str">
        <v>14:33:21.842954240</v>
      </c>
      <c r="V240">
        <v>32.700000000000003</v>
      </c>
      <c r="W240">
        <v>603416</v>
      </c>
      <c r="X240">
        <v>3696796</v>
      </c>
      <c r="Y240">
        <v>42796</v>
      </c>
      <c r="Z240">
        <v>3709523</v>
      </c>
      <c r="AA240">
        <v>42858</v>
      </c>
      <c r="AB240">
        <v>998192</v>
      </c>
      <c r="AC240">
        <v>7055</v>
      </c>
      <c r="AD240">
        <v>1386121</v>
      </c>
      <c r="AE240">
        <v>7108</v>
      </c>
      <c r="AF240">
        <v>1.4005522670999999</v>
      </c>
      <c r="AG240">
        <v>1</v>
      </c>
      <c r="AH240" t="e">
        <v>#N/A</v>
      </c>
      <c r="AI240" t="str">
        <v>None</v>
      </c>
      <c r="AJ240">
        <v>32.799999999999997</v>
      </c>
      <c r="AK240">
        <v>32.79</v>
      </c>
      <c r="AL240">
        <v>1.6552998007547935E+18</v>
      </c>
    </row>
    <row r="241" spans="8:38" x14ac:dyDescent="0.3">
      <c r="H241" t="str">
        <v>2022-06-16T20:03:30.892Z</v>
      </c>
      <c r="I241" t="str">
        <v>BBG000BY29C7</v>
      </c>
      <c r="J241">
        <v>35035</v>
      </c>
      <c r="K241">
        <v>20220616</v>
      </c>
      <c r="L241" t="str">
        <v>TPR</v>
      </c>
      <c r="M241" t="str">
        <v>Tapestry Inc</v>
      </c>
      <c r="N241" t="str">
        <v>NYSE</v>
      </c>
      <c r="O241" t="str">
        <v>US8760301072</v>
      </c>
      <c r="P241">
        <v>31.7</v>
      </c>
      <c r="Q241">
        <v>34198</v>
      </c>
      <c r="R241">
        <v>31.82</v>
      </c>
      <c r="S241" t="str">
        <v>09:32:31.655418624</v>
      </c>
      <c r="T241">
        <v>30.13</v>
      </c>
      <c r="U241" t="str">
        <v>14:55:28.209274368</v>
      </c>
      <c r="V241">
        <v>30.52</v>
      </c>
      <c r="W241">
        <v>540492</v>
      </c>
      <c r="X241">
        <v>3543107</v>
      </c>
      <c r="Y241">
        <v>32936</v>
      </c>
      <c r="Z241">
        <v>3546501</v>
      </c>
      <c r="AA241">
        <v>32963</v>
      </c>
      <c r="AB241">
        <v>1013436</v>
      </c>
      <c r="AC241">
        <v>6818</v>
      </c>
      <c r="AD241">
        <v>1230443</v>
      </c>
      <c r="AE241">
        <v>6847</v>
      </c>
      <c r="AF241">
        <v>1.4005522670999999</v>
      </c>
      <c r="AG241">
        <v>1</v>
      </c>
      <c r="AH241" t="e">
        <v>#N/A</v>
      </c>
      <c r="AI241" t="str">
        <v>None</v>
      </c>
      <c r="AJ241">
        <v>30.52</v>
      </c>
      <c r="AK241">
        <v>30.52</v>
      </c>
      <c r="AL241">
        <v>1.6553862008134449E+18</v>
      </c>
    </row>
    <row r="242" spans="8:38" x14ac:dyDescent="0.3">
      <c r="H242" t="str">
        <v>2022-06-16T20:04:19.534Z</v>
      </c>
      <c r="I242" t="str">
        <v>BBG000BS7KS3</v>
      </c>
      <c r="J242">
        <v>32840</v>
      </c>
      <c r="K242">
        <v>20220616</v>
      </c>
      <c r="L242" t="str">
        <v>TAP</v>
      </c>
      <c r="M242" t="str">
        <v>Molson Coors Beverage Company</v>
      </c>
      <c r="N242" t="str">
        <v>NYSE</v>
      </c>
      <c r="O242" t="str">
        <v>US60871R2094</v>
      </c>
      <c r="P242">
        <v>51.01</v>
      </c>
      <c r="Q242">
        <v>11815</v>
      </c>
      <c r="R242">
        <v>51.09</v>
      </c>
      <c r="S242" t="str">
        <v>09:30:24.949884416</v>
      </c>
      <c r="T242">
        <v>50.3</v>
      </c>
      <c r="U242" t="str">
        <v>15:51:49.356615936</v>
      </c>
      <c r="V242">
        <v>50.46</v>
      </c>
      <c r="W242">
        <v>208849</v>
      </c>
      <c r="X242">
        <v>1225071</v>
      </c>
      <c r="Y242">
        <v>21772</v>
      </c>
      <c r="Z242">
        <v>1225997</v>
      </c>
      <c r="AA242">
        <v>21784</v>
      </c>
      <c r="AB242">
        <v>372148</v>
      </c>
      <c r="AC242">
        <v>4764</v>
      </c>
      <c r="AD242">
        <v>403253</v>
      </c>
      <c r="AE242">
        <v>4796</v>
      </c>
      <c r="AF242">
        <v>2.8146466416</v>
      </c>
      <c r="AG242">
        <v>2</v>
      </c>
      <c r="AH242" t="e">
        <v>#N/A</v>
      </c>
      <c r="AI242" t="str">
        <v>None</v>
      </c>
      <c r="AJ242">
        <v>50.6</v>
      </c>
      <c r="AK242">
        <v>50.6</v>
      </c>
      <c r="AL242">
        <v>1.65538620093105E+18</v>
      </c>
    </row>
    <row r="243" spans="8:38" x14ac:dyDescent="0.3">
      <c r="H243" t="str">
        <v>2022-06-17T20:05:20.028Z</v>
      </c>
      <c r="I243" t="str">
        <v>BBG000BS7KS3</v>
      </c>
      <c r="J243">
        <v>32840</v>
      </c>
      <c r="K243">
        <v>20220617</v>
      </c>
      <c r="L243" t="str">
        <v>TAP</v>
      </c>
      <c r="M243" t="str">
        <v>Molson Coors Beverage Company</v>
      </c>
      <c r="N243" t="str">
        <v>NYSE</v>
      </c>
      <c r="O243" t="str">
        <v>US60871R2094</v>
      </c>
      <c r="P243">
        <v>50.77</v>
      </c>
      <c r="Q243">
        <v>159337</v>
      </c>
      <c r="R243">
        <v>50.87</v>
      </c>
      <c r="S243" t="str">
        <v>09:36:16.371198976</v>
      </c>
      <c r="T243">
        <v>49.46</v>
      </c>
      <c r="U243" t="str">
        <v>10:50:12.003556352</v>
      </c>
      <c r="V243">
        <v>50.37</v>
      </c>
      <c r="W243">
        <v>1639488</v>
      </c>
      <c r="X243">
        <v>2999949</v>
      </c>
      <c r="Y243">
        <v>18105</v>
      </c>
      <c r="Z243">
        <v>3000404</v>
      </c>
      <c r="AA243">
        <v>18114</v>
      </c>
      <c r="AB243">
        <v>561598</v>
      </c>
      <c r="AC243">
        <v>5935</v>
      </c>
      <c r="AD243">
        <v>788277</v>
      </c>
      <c r="AE243">
        <v>6008</v>
      </c>
      <c r="AF243">
        <v>2.8146466416</v>
      </c>
      <c r="AG243">
        <v>2</v>
      </c>
      <c r="AH243" t="e">
        <v>#N/A</v>
      </c>
      <c r="AI243" t="str">
        <v>None</v>
      </c>
      <c r="AJ243">
        <v>50.34</v>
      </c>
      <c r="AK243">
        <v>50.34</v>
      </c>
      <c r="AL243">
        <v>1.6554726012034657E+18</v>
      </c>
    </row>
    <row r="244" spans="8:38" x14ac:dyDescent="0.3">
      <c r="H244" t="str">
        <v>2022-06-17T20:05:32.851Z</v>
      </c>
      <c r="I244" t="str">
        <v>BBG000BY29C7</v>
      </c>
      <c r="J244">
        <v>35035</v>
      </c>
      <c r="K244">
        <v>20220617</v>
      </c>
      <c r="L244" t="str">
        <v>TPR</v>
      </c>
      <c r="M244" t="str">
        <v>Tapestry Inc</v>
      </c>
      <c r="N244" t="str">
        <v>NYSE</v>
      </c>
      <c r="O244" t="str">
        <v>US8760301072</v>
      </c>
      <c r="P244">
        <v>30.45</v>
      </c>
      <c r="Q244">
        <v>201812</v>
      </c>
      <c r="R244">
        <v>32.36</v>
      </c>
      <c r="S244" t="str">
        <v>15:38:26.065695744</v>
      </c>
      <c r="T244">
        <v>30.48</v>
      </c>
      <c r="U244" t="str">
        <v>09:30:01.835608064</v>
      </c>
      <c r="V244">
        <v>32.1</v>
      </c>
      <c r="W244">
        <v>2634980</v>
      </c>
      <c r="X244">
        <v>6564728</v>
      </c>
      <c r="Y244">
        <v>43328</v>
      </c>
      <c r="Z244">
        <v>6565271</v>
      </c>
      <c r="AA244">
        <v>43334</v>
      </c>
      <c r="AB244">
        <v>1287523</v>
      </c>
      <c r="AC244">
        <v>9847</v>
      </c>
      <c r="AD244">
        <v>2083287</v>
      </c>
      <c r="AE244">
        <v>9911</v>
      </c>
      <c r="AF244">
        <v>1.4005522670999999</v>
      </c>
      <c r="AG244">
        <v>1</v>
      </c>
      <c r="AH244" t="e">
        <v>#N/A</v>
      </c>
      <c r="AI244" t="str">
        <v>None</v>
      </c>
      <c r="AJ244">
        <v>31.89</v>
      </c>
      <c r="AK244">
        <v>31.91</v>
      </c>
      <c r="AL244">
        <v>1.6554726009903135E+18</v>
      </c>
    </row>
    <row r="245" spans="8:38" x14ac:dyDescent="0.3">
      <c r="H245" t="str">
        <v>2022-06-21T20:04:21.062Z</v>
      </c>
      <c r="I245" t="str">
        <v>BBG000BS7KS3</v>
      </c>
      <c r="J245">
        <v>32840</v>
      </c>
      <c r="K245">
        <v>20220621</v>
      </c>
      <c r="L245" t="str">
        <v>TAP</v>
      </c>
      <c r="M245" t="str">
        <v>Molson Coors Beverage Company</v>
      </c>
      <c r="N245" t="str">
        <v>NYSE</v>
      </c>
      <c r="O245" t="str">
        <v>US60871R2094</v>
      </c>
      <c r="P245">
        <v>49.89</v>
      </c>
      <c r="Q245">
        <v>33463</v>
      </c>
      <c r="R245">
        <v>52.37</v>
      </c>
      <c r="S245" t="str">
        <v>15:54:27.864126976</v>
      </c>
      <c r="T245">
        <v>49.86</v>
      </c>
      <c r="U245" t="str">
        <v>09:30:01.135874560</v>
      </c>
      <c r="V245">
        <v>52.21</v>
      </c>
      <c r="W245">
        <v>225645</v>
      </c>
      <c r="X245">
        <v>1215254</v>
      </c>
      <c r="Y245">
        <v>19139</v>
      </c>
      <c r="Z245">
        <v>1218571</v>
      </c>
      <c r="AA245">
        <v>19178</v>
      </c>
      <c r="AB245">
        <v>504367</v>
      </c>
      <c r="AC245">
        <v>5549</v>
      </c>
      <c r="AD245">
        <v>536759</v>
      </c>
      <c r="AE245">
        <v>5588</v>
      </c>
      <c r="AF245">
        <v>2.8146466416</v>
      </c>
      <c r="AG245">
        <v>2</v>
      </c>
      <c r="AH245" t="e">
        <v>#N/A</v>
      </c>
      <c r="AI245" t="str">
        <v>None</v>
      </c>
      <c r="AJ245">
        <v>51.57</v>
      </c>
      <c r="AK245">
        <v>51.58</v>
      </c>
      <c r="AL245">
        <v>1.6558182010024174E+18</v>
      </c>
    </row>
    <row r="246" spans="8:38" x14ac:dyDescent="0.3">
      <c r="H246" t="str">
        <v>2022-06-21T20:04:23.799Z</v>
      </c>
      <c r="I246" t="str">
        <v>BBG000BY29C7</v>
      </c>
      <c r="J246">
        <v>35035</v>
      </c>
      <c r="K246">
        <v>20220621</v>
      </c>
      <c r="L246" t="str">
        <v>TPR</v>
      </c>
      <c r="M246" t="str">
        <v>Tapestry Inc</v>
      </c>
      <c r="N246" t="str">
        <v>NYSE</v>
      </c>
      <c r="O246" t="str">
        <v>US8760301072</v>
      </c>
      <c r="P246">
        <v>32.86</v>
      </c>
      <c r="Q246">
        <v>34525</v>
      </c>
      <c r="R246">
        <v>33.119999999999997</v>
      </c>
      <c r="S246" t="str">
        <v>09:31:07.155833088</v>
      </c>
      <c r="T246">
        <v>31.79</v>
      </c>
      <c r="U246" t="str">
        <v>09:45:50.420385280</v>
      </c>
      <c r="V246">
        <v>32.15</v>
      </c>
      <c r="W246">
        <v>516277</v>
      </c>
      <c r="X246">
        <v>2350872</v>
      </c>
      <c r="Y246">
        <v>26708</v>
      </c>
      <c r="Z246">
        <v>2351529</v>
      </c>
      <c r="AA246">
        <v>26722</v>
      </c>
      <c r="AB246">
        <v>919073</v>
      </c>
      <c r="AC246">
        <v>8374</v>
      </c>
      <c r="AD246">
        <v>1234117</v>
      </c>
      <c r="AE246">
        <v>8417</v>
      </c>
      <c r="AF246">
        <v>1.4005522670999999</v>
      </c>
      <c r="AG246">
        <v>1</v>
      </c>
      <c r="AH246" t="e">
        <v>#N/A</v>
      </c>
      <c r="AI246" t="str">
        <v>None</v>
      </c>
      <c r="AJ246">
        <v>32.21</v>
      </c>
      <c r="AK246">
        <v>32.21</v>
      </c>
      <c r="AL246">
        <v>1.6558182007952102E+18</v>
      </c>
    </row>
    <row r="247" spans="8:38" x14ac:dyDescent="0.3">
      <c r="H247" t="str">
        <v>2022-06-22T20:04:22.187Z</v>
      </c>
      <c r="I247" t="str">
        <v>BBG000BS7KS3</v>
      </c>
      <c r="J247">
        <v>32840</v>
      </c>
      <c r="K247">
        <v>20220622</v>
      </c>
      <c r="L247" t="str">
        <v>TAP</v>
      </c>
      <c r="M247" t="str">
        <v>Molson Coors Beverage Company</v>
      </c>
      <c r="N247" t="str">
        <v>NYSE</v>
      </c>
      <c r="O247" t="str">
        <v>US60871R2094</v>
      </c>
      <c r="P247">
        <v>51.59</v>
      </c>
      <c r="Q247">
        <v>16534</v>
      </c>
      <c r="R247">
        <v>52.95</v>
      </c>
      <c r="S247" t="str">
        <v>15:54:29.427121920</v>
      </c>
      <c r="T247">
        <v>51.5</v>
      </c>
      <c r="U247" t="str">
        <v>09:30:55.435228928</v>
      </c>
      <c r="V247">
        <v>52.72</v>
      </c>
      <c r="W247">
        <v>228798</v>
      </c>
      <c r="X247">
        <v>893884</v>
      </c>
      <c r="Y247">
        <v>14950</v>
      </c>
      <c r="Z247">
        <v>893884</v>
      </c>
      <c r="AA247">
        <v>14950</v>
      </c>
      <c r="AB247">
        <v>360055</v>
      </c>
      <c r="AC247">
        <v>4710</v>
      </c>
      <c r="AD247">
        <v>397756</v>
      </c>
      <c r="AE247">
        <v>4756</v>
      </c>
      <c r="AF247">
        <v>2.8146466416</v>
      </c>
      <c r="AG247">
        <v>2</v>
      </c>
      <c r="AH247" t="e">
        <v>#N/A</v>
      </c>
      <c r="AI247" t="str">
        <v>None</v>
      </c>
      <c r="AJ247">
        <v>52.57</v>
      </c>
      <c r="AK247">
        <v>52.58</v>
      </c>
      <c r="AL247">
        <v>1.6559046010467346E+18</v>
      </c>
    </row>
    <row r="248" spans="8:38" x14ac:dyDescent="0.3">
      <c r="H248" t="str">
        <v>2022-06-22T20:04:26.643Z</v>
      </c>
      <c r="I248" t="str">
        <v>BBG000BY29C7</v>
      </c>
      <c r="J248">
        <v>35035</v>
      </c>
      <c r="K248">
        <v>20220622</v>
      </c>
      <c r="L248" t="str">
        <v>TPR</v>
      </c>
      <c r="M248" t="str">
        <v>Tapestry Inc</v>
      </c>
      <c r="N248" t="str">
        <v>NYSE</v>
      </c>
      <c r="O248" t="str">
        <v>US8760301072</v>
      </c>
      <c r="P248">
        <v>31.61</v>
      </c>
      <c r="Q248">
        <v>33525</v>
      </c>
      <c r="R248">
        <v>32.090000000000003</v>
      </c>
      <c r="S248" t="str">
        <v>09:33:14.717302016</v>
      </c>
      <c r="T248">
        <v>30.97</v>
      </c>
      <c r="U248" t="str">
        <v>15:41:12.881224448</v>
      </c>
      <c r="V248">
        <v>31.11</v>
      </c>
      <c r="W248">
        <v>686094</v>
      </c>
      <c r="X248">
        <v>3032012</v>
      </c>
      <c r="Y248">
        <v>32030</v>
      </c>
      <c r="Z248">
        <v>3032247</v>
      </c>
      <c r="AA248">
        <v>32037</v>
      </c>
      <c r="AB248">
        <v>1010946</v>
      </c>
      <c r="AC248">
        <v>8780</v>
      </c>
      <c r="AD248">
        <v>1162394</v>
      </c>
      <c r="AE248">
        <v>8826</v>
      </c>
      <c r="AF248">
        <v>1.4005522670999999</v>
      </c>
      <c r="AG248">
        <v>1</v>
      </c>
      <c r="AH248" t="e">
        <v>#N/A</v>
      </c>
      <c r="AI248" t="str">
        <v>None</v>
      </c>
      <c r="AJ248">
        <v>31.34</v>
      </c>
      <c r="AK248">
        <v>31.33</v>
      </c>
      <c r="AL248">
        <v>1.6559046006995983E+18</v>
      </c>
    </row>
    <row r="249" spans="8:38" x14ac:dyDescent="0.3">
      <c r="H249" t="str">
        <v>2022-06-23T20:04:00.471Z</v>
      </c>
      <c r="I249" t="str">
        <v>BBG000BS7KS3</v>
      </c>
      <c r="J249">
        <v>32840</v>
      </c>
      <c r="K249">
        <v>20220623</v>
      </c>
      <c r="L249" t="str">
        <v>TAP</v>
      </c>
      <c r="M249" t="str">
        <v>Molson Coors Beverage Company</v>
      </c>
      <c r="N249" t="str">
        <v>NYSE</v>
      </c>
      <c r="O249" t="str">
        <v>US60871R2094</v>
      </c>
      <c r="P249">
        <v>52.72</v>
      </c>
      <c r="Q249">
        <v>14080</v>
      </c>
      <c r="R249">
        <v>53.87</v>
      </c>
      <c r="S249" t="str">
        <v>15:52:00.758303232</v>
      </c>
      <c r="T249">
        <v>52.61</v>
      </c>
      <c r="U249" t="str">
        <v>09:30:17.684049152</v>
      </c>
      <c r="V249">
        <v>53.8</v>
      </c>
      <c r="W249">
        <v>211103</v>
      </c>
      <c r="X249">
        <v>927269</v>
      </c>
      <c r="Y249">
        <v>13302</v>
      </c>
      <c r="Z249">
        <v>927703</v>
      </c>
      <c r="AA249">
        <v>13314</v>
      </c>
      <c r="AB249">
        <v>539338</v>
      </c>
      <c r="AC249">
        <v>3613</v>
      </c>
      <c r="AD249">
        <v>586131</v>
      </c>
      <c r="AE249">
        <v>3645</v>
      </c>
      <c r="AF249">
        <v>2.8146466416</v>
      </c>
      <c r="AG249">
        <v>2</v>
      </c>
      <c r="AH249" t="e">
        <v>#N/A</v>
      </c>
      <c r="AI249" t="str">
        <v>None</v>
      </c>
      <c r="AJ249">
        <v>53.43</v>
      </c>
      <c r="AK249">
        <v>53.44</v>
      </c>
      <c r="AL249">
        <v>1.6559910008743424E+18</v>
      </c>
    </row>
    <row r="250" spans="8:38" x14ac:dyDescent="0.3">
      <c r="H250" t="str">
        <v>2022-06-23T20:04:01.776Z</v>
      </c>
      <c r="I250" t="str">
        <v>BBG000BY29C7</v>
      </c>
      <c r="J250">
        <v>35035</v>
      </c>
      <c r="K250">
        <v>20220623</v>
      </c>
      <c r="L250" t="str">
        <v>TPR</v>
      </c>
      <c r="M250" t="str">
        <v>Tapestry Inc</v>
      </c>
      <c r="N250" t="str">
        <v>NYSE</v>
      </c>
      <c r="O250" t="str">
        <v>US8760301072</v>
      </c>
      <c r="P250">
        <v>31.4</v>
      </c>
      <c r="Q250">
        <v>28575</v>
      </c>
      <c r="R250">
        <v>32.17</v>
      </c>
      <c r="S250" t="str">
        <v>15:41:03.035004928</v>
      </c>
      <c r="T250">
        <v>31.2</v>
      </c>
      <c r="U250" t="str">
        <v>09:54:51.274644736</v>
      </c>
      <c r="V250">
        <v>32.090000000000003</v>
      </c>
      <c r="W250">
        <v>231128</v>
      </c>
      <c r="X250">
        <v>2236421</v>
      </c>
      <c r="Y250">
        <v>25920</v>
      </c>
      <c r="Z250">
        <v>2236426</v>
      </c>
      <c r="AA250">
        <v>25922</v>
      </c>
      <c r="AB250">
        <v>861624</v>
      </c>
      <c r="AC250">
        <v>6313</v>
      </c>
      <c r="AD250">
        <v>1272771</v>
      </c>
      <c r="AE250">
        <v>6348</v>
      </c>
      <c r="AF250">
        <v>1.4005522670999999</v>
      </c>
      <c r="AG250">
        <v>1</v>
      </c>
      <c r="AH250" t="e">
        <v>#N/A</v>
      </c>
      <c r="AI250" t="str">
        <v>None</v>
      </c>
      <c r="AJ250">
        <v>31.77</v>
      </c>
      <c r="AK250">
        <v>31.8</v>
      </c>
      <c r="AL250">
        <v>1.6559910372999649E+18</v>
      </c>
    </row>
    <row r="251" spans="8:38" x14ac:dyDescent="0.3">
      <c r="H251" t="str">
        <v>2022-06-24T20:04:30.414Z</v>
      </c>
      <c r="I251" t="str">
        <v>BBG000BY29C7</v>
      </c>
      <c r="J251">
        <v>35035</v>
      </c>
      <c r="K251">
        <v>20220624</v>
      </c>
      <c r="L251" t="str">
        <v>TPR</v>
      </c>
      <c r="M251" t="str">
        <v>Tapestry Inc</v>
      </c>
      <c r="N251" t="str">
        <v>NYSE</v>
      </c>
      <c r="O251" t="str">
        <v>US8760301072</v>
      </c>
      <c r="P251">
        <v>32.68</v>
      </c>
      <c r="Q251">
        <v>22426</v>
      </c>
      <c r="R251">
        <v>33.619999999999997</v>
      </c>
      <c r="S251" t="str">
        <v>11:39:43.900403200</v>
      </c>
      <c r="T251">
        <v>32.56</v>
      </c>
      <c r="U251" t="str">
        <v>09:31:01.988304384</v>
      </c>
      <c r="V251">
        <v>33.33</v>
      </c>
      <c r="W251">
        <v>935312</v>
      </c>
      <c r="X251">
        <v>2766645</v>
      </c>
      <c r="Y251">
        <v>21183</v>
      </c>
      <c r="Z251">
        <v>2766953</v>
      </c>
      <c r="AA251">
        <v>21196</v>
      </c>
      <c r="AB251">
        <v>926219</v>
      </c>
      <c r="AC251">
        <v>7601</v>
      </c>
      <c r="AD251">
        <v>1235246</v>
      </c>
      <c r="AE251">
        <v>7645</v>
      </c>
      <c r="AF251">
        <v>1.4005522670999999</v>
      </c>
      <c r="AG251">
        <v>1</v>
      </c>
      <c r="AH251" t="e">
        <v>#N/A</v>
      </c>
      <c r="AI251" t="str">
        <v>None</v>
      </c>
      <c r="AJ251">
        <v>33.32</v>
      </c>
      <c r="AK251">
        <v>33.32</v>
      </c>
      <c r="AL251">
        <v>1.6560774007502354E+18</v>
      </c>
    </row>
    <row r="252" spans="8:38" x14ac:dyDescent="0.3">
      <c r="H252" t="str">
        <v>2022-06-24T20:04:32.635Z</v>
      </c>
      <c r="I252" t="str">
        <v>BBG000BS7KS3</v>
      </c>
      <c r="J252">
        <v>32840</v>
      </c>
      <c r="K252">
        <v>20220624</v>
      </c>
      <c r="L252" t="str">
        <v>TAP</v>
      </c>
      <c r="M252" t="str">
        <v>Molson Coors Beverage Company</v>
      </c>
      <c r="N252" t="str">
        <v>NYSE</v>
      </c>
      <c r="O252" t="str">
        <v>US60871R2094</v>
      </c>
      <c r="P252">
        <v>54.22</v>
      </c>
      <c r="Q252">
        <v>13512</v>
      </c>
      <c r="R252">
        <v>56.13</v>
      </c>
      <c r="S252" t="str">
        <v>13:31:28.540152064</v>
      </c>
      <c r="T252">
        <v>53.92</v>
      </c>
      <c r="U252" t="str">
        <v>09:41:23.891128064</v>
      </c>
      <c r="V252">
        <v>55.77</v>
      </c>
      <c r="W252">
        <v>381339</v>
      </c>
      <c r="X252">
        <v>1148886</v>
      </c>
      <c r="Y252">
        <v>15687</v>
      </c>
      <c r="Z252">
        <v>1149258</v>
      </c>
      <c r="AA252">
        <v>15698</v>
      </c>
      <c r="AB252">
        <v>362077</v>
      </c>
      <c r="AC252">
        <v>4628</v>
      </c>
      <c r="AD252">
        <v>512730</v>
      </c>
      <c r="AE252">
        <v>4656</v>
      </c>
      <c r="AF252">
        <v>2.8146466416</v>
      </c>
      <c r="AG252">
        <v>2</v>
      </c>
      <c r="AH252" t="e">
        <v>#N/A</v>
      </c>
      <c r="AI252" t="str">
        <v>None</v>
      </c>
      <c r="AJ252">
        <v>55.54</v>
      </c>
      <c r="AK252">
        <v>55.56</v>
      </c>
      <c r="AL252">
        <v>1.6560774008948803E+18</v>
      </c>
    </row>
    <row r="253" spans="8:38" x14ac:dyDescent="0.3">
      <c r="H253" t="str">
        <v>2022-06-27T20:04:07.115Z</v>
      </c>
      <c r="I253" t="str">
        <v>BBG000BS7KS3</v>
      </c>
      <c r="J253">
        <v>32840</v>
      </c>
      <c r="K253">
        <v>20220627</v>
      </c>
      <c r="L253" t="str">
        <v>TAP</v>
      </c>
      <c r="M253" t="str">
        <v>Molson Coors Beverage Company</v>
      </c>
      <c r="N253" t="str">
        <v>NYSE</v>
      </c>
      <c r="O253" t="str">
        <v>US60871R2094</v>
      </c>
      <c r="P253">
        <v>55.74</v>
      </c>
      <c r="Q253">
        <v>16208</v>
      </c>
      <c r="R253">
        <v>55.92</v>
      </c>
      <c r="S253" t="str">
        <v>09:44:06.437786368</v>
      </c>
      <c r="T253">
        <v>55.22</v>
      </c>
      <c r="U253" t="str">
        <v>14:12:29.478844416</v>
      </c>
      <c r="V253">
        <v>55.38</v>
      </c>
      <c r="W253">
        <v>195529</v>
      </c>
      <c r="X253">
        <v>714872</v>
      </c>
      <c r="Y253">
        <v>10446</v>
      </c>
      <c r="Z253">
        <v>716202</v>
      </c>
      <c r="AA253">
        <v>10458</v>
      </c>
      <c r="AB253">
        <v>379576</v>
      </c>
      <c r="AC253">
        <v>3506</v>
      </c>
      <c r="AD253">
        <v>482809</v>
      </c>
      <c r="AE253">
        <v>3562</v>
      </c>
      <c r="AF253">
        <v>2.8146466416</v>
      </c>
      <c r="AG253">
        <v>2</v>
      </c>
      <c r="AH253" t="e">
        <v>#N/A</v>
      </c>
      <c r="AI253" t="str">
        <v>None</v>
      </c>
      <c r="AJ253">
        <v>55.46</v>
      </c>
      <c r="AK253">
        <v>55.45</v>
      </c>
      <c r="AL253">
        <v>1.6563366009252616E+18</v>
      </c>
    </row>
    <row r="254" spans="8:38" x14ac:dyDescent="0.3">
      <c r="H254" t="str">
        <v>2022-06-27T20:04:10.789Z</v>
      </c>
      <c r="I254" t="str">
        <v>BBG000BY29C7</v>
      </c>
      <c r="J254">
        <v>35035</v>
      </c>
      <c r="K254">
        <v>20220627</v>
      </c>
      <c r="L254" t="str">
        <v>TPR</v>
      </c>
      <c r="M254" t="str">
        <v>Tapestry Inc</v>
      </c>
      <c r="N254" t="str">
        <v>NYSE</v>
      </c>
      <c r="O254" t="str">
        <v>US8760301072</v>
      </c>
      <c r="P254">
        <v>33.49</v>
      </c>
      <c r="Q254">
        <v>27675</v>
      </c>
      <c r="R254">
        <v>33.67</v>
      </c>
      <c r="S254" t="str">
        <v>09:30:45.609809920</v>
      </c>
      <c r="T254">
        <v>32.299999999999997</v>
      </c>
      <c r="U254" t="str">
        <v>10:29:59.856892672</v>
      </c>
      <c r="V254">
        <v>32.549999999999997</v>
      </c>
      <c r="W254">
        <v>531989</v>
      </c>
      <c r="X254">
        <v>1999379</v>
      </c>
      <c r="Y254">
        <v>21026</v>
      </c>
      <c r="Z254">
        <v>1999887</v>
      </c>
      <c r="AA254">
        <v>21029</v>
      </c>
      <c r="AB254">
        <v>832647</v>
      </c>
      <c r="AC254">
        <v>6457</v>
      </c>
      <c r="AD254">
        <v>925032</v>
      </c>
      <c r="AE254">
        <v>6499</v>
      </c>
      <c r="AF254">
        <v>1.4005522670999999</v>
      </c>
      <c r="AG254">
        <v>1</v>
      </c>
      <c r="AH254" t="e">
        <v>#N/A</v>
      </c>
      <c r="AI254" t="str">
        <v>None</v>
      </c>
      <c r="AJ254">
        <v>32.619999999999997</v>
      </c>
      <c r="AK254">
        <v>32.619999999999997</v>
      </c>
      <c r="AL254">
        <v>1.6563366008678953E+18</v>
      </c>
    </row>
    <row r="255" spans="8:38" x14ac:dyDescent="0.3">
      <c r="H255" t="str">
        <v>2022-06-28T20:04:14.009Z</v>
      </c>
      <c r="I255" t="str">
        <v>BBG000BS7KS3</v>
      </c>
      <c r="J255">
        <v>32840</v>
      </c>
      <c r="K255">
        <v>20220628</v>
      </c>
      <c r="L255" t="str">
        <v>TAP</v>
      </c>
      <c r="M255" t="str">
        <v>Molson Coors Beverage Company</v>
      </c>
      <c r="N255" t="str">
        <v>NYSE</v>
      </c>
      <c r="O255" t="str">
        <v>US60871R2094</v>
      </c>
      <c r="P255">
        <v>56.6</v>
      </c>
      <c r="Q255">
        <v>40893</v>
      </c>
      <c r="R255">
        <v>57.75</v>
      </c>
      <c r="S255" t="str">
        <v>09:53:26.272212224</v>
      </c>
      <c r="T255">
        <v>55.56</v>
      </c>
      <c r="U255" t="str">
        <v>15:40:50.509247232</v>
      </c>
      <c r="V255">
        <v>55.76</v>
      </c>
      <c r="W255">
        <v>190210</v>
      </c>
      <c r="X255">
        <v>1099809</v>
      </c>
      <c r="Y255">
        <v>20968</v>
      </c>
      <c r="Z255">
        <v>1105613</v>
      </c>
      <c r="AA255">
        <v>21060</v>
      </c>
      <c r="AB255">
        <v>448316</v>
      </c>
      <c r="AC255">
        <v>4536</v>
      </c>
      <c r="AD255">
        <v>481929</v>
      </c>
      <c r="AE255">
        <v>4586</v>
      </c>
      <c r="AF255">
        <v>2.8146466416</v>
      </c>
      <c r="AG255">
        <v>2</v>
      </c>
      <c r="AH255" t="e">
        <v>#N/A</v>
      </c>
      <c r="AI255" t="str">
        <v>None</v>
      </c>
      <c r="AJ255">
        <v>56.29</v>
      </c>
      <c r="AK255">
        <v>56.28</v>
      </c>
      <c r="AL255">
        <v>1.656423000883649E+18</v>
      </c>
    </row>
    <row r="256" spans="8:38" x14ac:dyDescent="0.3">
      <c r="H256" t="str">
        <v>2022-06-28T20:04:17.550Z</v>
      </c>
      <c r="I256" t="str">
        <v>BBG000BY29C7</v>
      </c>
      <c r="J256">
        <v>35035</v>
      </c>
      <c r="K256">
        <v>20220628</v>
      </c>
      <c r="L256" t="str">
        <v>TPR</v>
      </c>
      <c r="M256" t="str">
        <v>Tapestry Inc</v>
      </c>
      <c r="N256" t="str">
        <v>NYSE</v>
      </c>
      <c r="O256" t="str">
        <v>US8760301072</v>
      </c>
      <c r="P256">
        <v>33.119999999999997</v>
      </c>
      <c r="Q256">
        <v>51242</v>
      </c>
      <c r="R256">
        <v>33.72</v>
      </c>
      <c r="S256" t="str">
        <v>09:45:01.225592064</v>
      </c>
      <c r="T256">
        <v>32.159999999999997</v>
      </c>
      <c r="U256" t="str">
        <v>14:19:05.598547456</v>
      </c>
      <c r="V256">
        <v>32.22</v>
      </c>
      <c r="W256">
        <v>468294</v>
      </c>
      <c r="X256">
        <v>2302043</v>
      </c>
      <c r="Y256">
        <v>26366</v>
      </c>
      <c r="Z256">
        <v>2308182</v>
      </c>
      <c r="AA256">
        <v>26418</v>
      </c>
      <c r="AB256">
        <v>677869</v>
      </c>
      <c r="AC256">
        <v>5169</v>
      </c>
      <c r="AD256">
        <v>719655</v>
      </c>
      <c r="AE256">
        <v>5202</v>
      </c>
      <c r="AF256">
        <v>1.4005522670999999</v>
      </c>
      <c r="AG256">
        <v>1</v>
      </c>
      <c r="AH256" t="e">
        <v>#N/A</v>
      </c>
      <c r="AI256" t="str">
        <v>None</v>
      </c>
      <c r="AJ256">
        <v>32.56</v>
      </c>
      <c r="AK256">
        <v>32.56</v>
      </c>
      <c r="AL256">
        <v>1.6564230575265677E+18</v>
      </c>
    </row>
    <row r="257" spans="8:38" x14ac:dyDescent="0.3">
      <c r="H257" t="str">
        <v>2022-06-29T20:03:32.600Z</v>
      </c>
      <c r="I257" t="str">
        <v>BBG000BS7KS3</v>
      </c>
      <c r="J257">
        <v>32840</v>
      </c>
      <c r="K257">
        <v>20220629</v>
      </c>
      <c r="L257" t="str">
        <v>TAP</v>
      </c>
      <c r="M257" t="str">
        <v>Molson Coors Beverage Company</v>
      </c>
      <c r="N257" t="str">
        <v>NYSE</v>
      </c>
      <c r="O257" t="str">
        <v>US60871R2094</v>
      </c>
      <c r="P257">
        <v>55.74</v>
      </c>
      <c r="Q257">
        <v>12458</v>
      </c>
      <c r="R257">
        <v>56.24</v>
      </c>
      <c r="S257" t="str">
        <v>09:30:09.259754496</v>
      </c>
      <c r="T257">
        <v>54.79</v>
      </c>
      <c r="U257" t="str">
        <v>11:29:34.732454912</v>
      </c>
      <c r="V257">
        <v>55.36</v>
      </c>
      <c r="W257">
        <v>243968</v>
      </c>
      <c r="X257">
        <v>865749</v>
      </c>
      <c r="Y257">
        <v>12781</v>
      </c>
      <c r="Z257">
        <v>866335</v>
      </c>
      <c r="AA257">
        <v>12795</v>
      </c>
      <c r="AB257">
        <v>364869</v>
      </c>
      <c r="AC257">
        <v>3254</v>
      </c>
      <c r="AD257">
        <v>477385</v>
      </c>
      <c r="AE257">
        <v>3309</v>
      </c>
      <c r="AF257">
        <v>2.8146466416</v>
      </c>
      <c r="AG257">
        <v>2</v>
      </c>
      <c r="AH257" t="e">
        <v>#N/A</v>
      </c>
      <c r="AI257" t="str">
        <v>None</v>
      </c>
      <c r="AJ257">
        <v>55.42</v>
      </c>
      <c r="AK257">
        <v>55.42</v>
      </c>
      <c r="AL257">
        <v>1.6565094008781266E+18</v>
      </c>
    </row>
    <row r="258" spans="8:38" x14ac:dyDescent="0.3">
      <c r="H258" t="str">
        <v>2022-06-29T20:03:36.389Z</v>
      </c>
      <c r="I258" t="str">
        <v>BBG000BY29C7</v>
      </c>
      <c r="J258">
        <v>35035</v>
      </c>
      <c r="K258">
        <v>20220629</v>
      </c>
      <c r="L258" t="str">
        <v>TPR</v>
      </c>
      <c r="M258" t="str">
        <v>Tapestry Inc</v>
      </c>
      <c r="N258" t="str">
        <v>NYSE</v>
      </c>
      <c r="O258" t="str">
        <v>US8760301072</v>
      </c>
      <c r="P258">
        <v>32.15</v>
      </c>
      <c r="Q258">
        <v>14771</v>
      </c>
      <c r="R258">
        <v>32.14</v>
      </c>
      <c r="S258" t="str">
        <v>09:31:19.042526720</v>
      </c>
      <c r="T258">
        <v>30.88</v>
      </c>
      <c r="U258" t="str">
        <v>13:25:10.333749504</v>
      </c>
      <c r="V258">
        <v>31.21</v>
      </c>
      <c r="W258">
        <v>316400</v>
      </c>
      <c r="X258">
        <v>2206195</v>
      </c>
      <c r="Y258">
        <v>24259</v>
      </c>
      <c r="Z258">
        <v>2206197</v>
      </c>
      <c r="AA258">
        <v>24260</v>
      </c>
      <c r="AB258">
        <v>1194060</v>
      </c>
      <c r="AC258">
        <v>6781</v>
      </c>
      <c r="AD258">
        <v>1300305</v>
      </c>
      <c r="AE258">
        <v>6825</v>
      </c>
      <c r="AF258">
        <v>1.4005522670999999</v>
      </c>
      <c r="AG258">
        <v>1</v>
      </c>
      <c r="AH258" t="e">
        <v>#N/A</v>
      </c>
      <c r="AI258" t="str">
        <v>None</v>
      </c>
      <c r="AJ258">
        <v>31.22</v>
      </c>
      <c r="AK258">
        <v>31.22</v>
      </c>
      <c r="AL258">
        <v>1.6565094007447037E+18</v>
      </c>
    </row>
    <row r="259" spans="8:38" x14ac:dyDescent="0.3">
      <c r="H259" t="str">
        <v>2022-06-30T20:05:36.687Z</v>
      </c>
      <c r="I259" t="str">
        <v>BBG000BY29C7</v>
      </c>
      <c r="J259">
        <v>35035</v>
      </c>
      <c r="K259">
        <v>20220630</v>
      </c>
      <c r="L259" t="str">
        <v>TPR</v>
      </c>
      <c r="M259" t="str">
        <v>Tapestry Inc</v>
      </c>
      <c r="N259" t="str">
        <v>NYSE</v>
      </c>
      <c r="O259" t="str">
        <v>US8760301072</v>
      </c>
      <c r="P259">
        <v>30.38</v>
      </c>
      <c r="Q259">
        <v>35465</v>
      </c>
      <c r="R259">
        <v>30.96</v>
      </c>
      <c r="S259" t="str">
        <v>13:53:52.343838720</v>
      </c>
      <c r="T259">
        <v>29.9</v>
      </c>
      <c r="U259" t="str">
        <v>10:11:29.044512000</v>
      </c>
      <c r="V259">
        <v>30.52</v>
      </c>
      <c r="W259">
        <v>892410</v>
      </c>
      <c r="X259">
        <v>2690443</v>
      </c>
      <c r="Y259">
        <v>22568</v>
      </c>
      <c r="Z259">
        <v>2693159</v>
      </c>
      <c r="AA259">
        <v>22590</v>
      </c>
      <c r="AB259">
        <v>603544</v>
      </c>
      <c r="AC259">
        <v>5396</v>
      </c>
      <c r="AD259">
        <v>706455</v>
      </c>
      <c r="AE259">
        <v>5435</v>
      </c>
      <c r="AF259">
        <v>1.4005522670999999</v>
      </c>
      <c r="AG259">
        <v>1</v>
      </c>
      <c r="AH259" t="e">
        <v>#N/A</v>
      </c>
      <c r="AI259" t="str">
        <v>None</v>
      </c>
      <c r="AJ259">
        <v>30.47</v>
      </c>
      <c r="AK259">
        <v>30.47</v>
      </c>
      <c r="AL259">
        <v>1.656595800778718E+18</v>
      </c>
    </row>
    <row r="260" spans="8:38" x14ac:dyDescent="0.3">
      <c r="H260" t="str">
        <v>2022-06-30T20:05:39.603Z</v>
      </c>
      <c r="I260" t="str">
        <v>BBG000BS7KS3</v>
      </c>
      <c r="J260">
        <v>32840</v>
      </c>
      <c r="K260">
        <v>20220630</v>
      </c>
      <c r="L260" t="str">
        <v>TAP</v>
      </c>
      <c r="M260" t="str">
        <v>Molson Coors Beverage Company</v>
      </c>
      <c r="N260" t="str">
        <v>NYSE</v>
      </c>
      <c r="O260" t="str">
        <v>US60871R2094</v>
      </c>
      <c r="P260">
        <v>54.83</v>
      </c>
      <c r="Q260">
        <v>15827</v>
      </c>
      <c r="R260">
        <v>55.06</v>
      </c>
      <c r="S260" t="str">
        <v>12:32:13.333410816</v>
      </c>
      <c r="T260">
        <v>54.14</v>
      </c>
      <c r="U260" t="str">
        <v>15:20:38.171663104</v>
      </c>
      <c r="V260">
        <v>54.51</v>
      </c>
      <c r="W260">
        <v>330621</v>
      </c>
      <c r="X260">
        <v>985322</v>
      </c>
      <c r="Y260">
        <v>13769</v>
      </c>
      <c r="Z260">
        <v>987064</v>
      </c>
      <c r="AA260">
        <v>13800</v>
      </c>
      <c r="AB260">
        <v>382307</v>
      </c>
      <c r="AC260">
        <v>4008</v>
      </c>
      <c r="AD260">
        <v>432099</v>
      </c>
      <c r="AE260">
        <v>4046</v>
      </c>
      <c r="AF260">
        <v>2.8146466416</v>
      </c>
      <c r="AG260">
        <v>2</v>
      </c>
      <c r="AH260" t="e">
        <v>#N/A</v>
      </c>
      <c r="AI260" t="str">
        <v>None</v>
      </c>
      <c r="AJ260">
        <v>54.5</v>
      </c>
      <c r="AK260">
        <v>54.5</v>
      </c>
      <c r="AL260">
        <v>1.6565958008747866E+18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D4E5-42C1-4DE5-B169-B8D18212659F}">
  <dimension ref="C4:J160"/>
  <sheetViews>
    <sheetView topLeftCell="B26" workbookViewId="0">
      <selection activeCell="J10" sqref="J10"/>
    </sheetView>
  </sheetViews>
  <sheetFormatPr defaultRowHeight="14.4" x14ac:dyDescent="0.3"/>
  <cols>
    <col min="3" max="3" width="19.88671875" bestFit="1" customWidth="1"/>
    <col min="4" max="4" width="15.44140625" bestFit="1" customWidth="1"/>
    <col min="8" max="8" width="11.109375" bestFit="1" customWidth="1"/>
    <col min="9" max="9" width="14.33203125" bestFit="1" customWidth="1"/>
  </cols>
  <sheetData>
    <row r="4" spans="3:10" x14ac:dyDescent="0.3">
      <c r="C4" t="s">
        <v>17</v>
      </c>
      <c r="H4" t="s">
        <v>16</v>
      </c>
    </row>
    <row r="6" spans="3:10" x14ac:dyDescent="0.3">
      <c r="C6" t="s">
        <v>8</v>
      </c>
      <c r="D6" s="2" t="s">
        <v>9</v>
      </c>
    </row>
    <row r="7" spans="3:10" x14ac:dyDescent="0.3">
      <c r="C7" t="s">
        <v>14</v>
      </c>
      <c r="D7" s="3">
        <f>DATE(2025,6,29)</f>
        <v>45837</v>
      </c>
    </row>
    <row r="8" spans="3:10" x14ac:dyDescent="0.3">
      <c r="C8" t="s">
        <v>15</v>
      </c>
      <c r="D8" s="5">
        <f>D7+180</f>
        <v>46017</v>
      </c>
      <c r="H8" t="s">
        <v>10</v>
      </c>
      <c r="J8" t="s">
        <v>11</v>
      </c>
    </row>
    <row r="10" spans="3:10" x14ac:dyDescent="0.3">
      <c r="H10" t="str" cm="1">
        <f t="array" ref="H10:I24">_xll.MS.GET_ASSET(H8)</f>
        <v>field</v>
      </c>
      <c r="I10" t="str">
        <v>value</v>
      </c>
      <c r="J10" s="4" t="str" cm="1">
        <f t="array" ref="J10">_xll.MS.GET_ASSET_FIELD(J8,"current_snapshot.ticker")</f>
        <v>90_CDMXCB_19</v>
      </c>
    </row>
    <row r="11" spans="3:10" x14ac:dyDescent="0.3">
      <c r="H11" t="str">
        <v>orm_class</v>
      </c>
      <c r="I11" t="str">
        <v>Asset</v>
      </c>
    </row>
    <row r="12" spans="3:10" x14ac:dyDescent="0.3">
      <c r="H12" t="str">
        <v>id</v>
      </c>
      <c r="I12">
        <v>119564</v>
      </c>
    </row>
    <row r="13" spans="3:10" x14ac:dyDescent="0.3">
      <c r="H13" t="str">
        <v>unique_identifier</v>
      </c>
      <c r="I13" t="str">
        <v>90_CBPF_48</v>
      </c>
    </row>
    <row r="14" spans="3:10" x14ac:dyDescent="0.3">
      <c r="H14" t="str">
        <v>figi</v>
      </c>
      <c r="I14" t="e">
        <v>#N/A</v>
      </c>
    </row>
    <row r="15" spans="3:10" x14ac:dyDescent="0.3">
      <c r="H15" t="str">
        <v>composite</v>
      </c>
      <c r="I15" t="e">
        <v>#N/A</v>
      </c>
    </row>
    <row r="16" spans="3:10" x14ac:dyDescent="0.3">
      <c r="H16" t="str">
        <v>share_class</v>
      </c>
      <c r="I16" t="e">
        <v>#N/A</v>
      </c>
    </row>
    <row r="17" spans="4:9" x14ac:dyDescent="0.3">
      <c r="H17" t="str">
        <v>isin</v>
      </c>
      <c r="I17" t="e">
        <v>#N/A</v>
      </c>
    </row>
    <row r="18" spans="4:9" x14ac:dyDescent="0.3">
      <c r="H18" t="str">
        <v>security_type</v>
      </c>
      <c r="I18" t="e">
        <v>#N/A</v>
      </c>
    </row>
    <row r="19" spans="4:9" x14ac:dyDescent="0.3">
      <c r="H19" t="str">
        <v>security_type_2</v>
      </c>
      <c r="I19" t="e">
        <v>#N/A</v>
      </c>
    </row>
    <row r="20" spans="4:9" x14ac:dyDescent="0.3">
      <c r="H20" t="str">
        <v>security_market_sector</v>
      </c>
      <c r="I20" t="e">
        <v>#N/A</v>
      </c>
    </row>
    <row r="21" spans="4:9" x14ac:dyDescent="0.3">
      <c r="H21" t="str">
        <v>is_tradable</v>
      </c>
      <c r="I21" t="b">
        <v>1</v>
      </c>
    </row>
    <row r="22" spans="4:9" x14ac:dyDescent="0.3">
      <c r="H22" t="str">
        <v>is_custom_by_organization</v>
      </c>
      <c r="I22" t="b">
        <v>1</v>
      </c>
    </row>
    <row r="23" spans="4:9" x14ac:dyDescent="0.3">
      <c r="H23" t="str">
        <v>current_snapshot</v>
      </c>
      <c r="I23" t="str">
        <v>{"orm_class": "AssetSnapshot", "id": null, "asset": 119564, "effective_from": "2025-09-09 13:14:01.208650+00:00", "effective_to": null, "name": "90_CBPF_48", "ticker": "90_CBPF_48", "exchange_code": null, "asset_ticker_group_id": "MSI7MPRAT9AE", "venue_specific_properties": null}</v>
      </c>
    </row>
    <row r="24" spans="4:9" x14ac:dyDescent="0.3">
      <c r="H24" t="str">
        <v>current_pricing_detail</v>
      </c>
      <c r="I24" t="str">
        <v>{"orm_class": "AssetPricingDetail", "instrument_dump": {"instrument": {"spread": 0.00213427, "calendar": {"name": "Mexican stock exchange"}, "schedule": {"dates": ["2025-08-24", "2025-09-15", "2025-10-14", "2025-11-14", "2025-12-15", "2026-01-12", "2026-02-10", "2026-03-13", "2026-04-13", "2026-05-12", "2026-06-12", "2026-07-13", "2026-08-11", "2026-09-11", "2026-10-12", "2026-11-10", "2026-12-11", "2027-01-11", "2027-02-09", "2027-03-12", "2027-04-12", "2027-05-11", "2027-06-11", "2027-07-12", "2027-08-10", "2027-09-10", "2027-10-11", "2027-11-09", "2027-12-10", "2028-01-10", "2028-02-08", "2028-03-10", "2028-04-10", "2028-05-09", "2028-06-09", "2028-07-10", "2028-08-08", "2028-09-08", "2028-10-09", "2028-11-07", "2028-12-08", "2029-01-08", "2029-02-06", "2029-03-06", "2029-04-06", "2029-05-07", "2029-06-05", "2029-07-06", "2029-08-06", "2029-09-04", "2029-10-05", "2029-11-05", "2029-12-03", "2030-01-02", "2030-02-01", "2030-03-04", "2030-04-02", "2030-05-03", "2030-06-03", "2030-07-02", "2030-08-02", "2030-09-02", "2030-10-02", "2030-11-01", "2030-12-02", "2030-12-31", "2031-01-31", "2031-03-03", "2031-04-01", "2031-05-02", "2031-06-02", "2031-07-01", "2031-08-01", "2031-09-01", "2031-09-30", "2031-10-31", "2031-12-01", "2031-12-30", "2032-01-30", "2032-03-01", "2032-03-30", "2032-04-30", "2032-05-31", "2032-06-29", "2032-07-30", "2032-08-30", "2032-09-28", "2032-10-29", "2032-11-29", "2032-12-28", "2033-01-28", "2033-02-28", "2033-03-29", "2033-04-29", "2033-05-30", "2033-06-28", "2033-07-29", "2033-08-29", "2033-09-27", "2033-10-28", "2033-11-28", "2033-12-27", "2034-01-27", "2034-02-27", "2034-03-28", "2034-04-28", "2034-05-29", "2034-06-27", "2034-07-28", "2034-08-28", "2034-09-26", "2034-10-27", "2034-11-27", "2034-12-26", "2035-01-23", "2035-02-23", "2035-03-26", "2035-04-23", "2035-05-22", "2035-06-22", "2035-07-23", "2035-08-21", "2035-09-21", "2035-10-22", "2035-11-20", "2035-12-18", "2036-01-18", "2036-02-18", "2036-03-18", "2036-04-15", "2036-05-16", "2036-06-16", "2036-07-15", "2036-08-15", "2036-09-15", "2036-10-14", "2036-11-14", "2036-12-15", "2037-01-12", "2037-02-10", "2037-03-13", "2037-04-13", "2037-05-12", "2037-06-12", "2037-07-13", "2037-08-11", "2037-09-11", "2037-10-12", "2037-11-10", "2037-12-11", "2038-01-11", "2038-02-09", "2038-03-12", "2038-04-12", "2038-05-11", "2038-06-11", "2038-07-12", "2038-08-10", "2038-09-10", "2038-10-11", "2038-11-09", "2038-12-10", "2039-01-10", "2039-02-08", "2039-03-11", "2039-04-11", "2039-05-10", "2039-06-10", "2039-07-11", "2039-08-09", "2039-09-09", "2039-10-10", "2039-11-08", "2039-12-09", "2040-01-09", "2040-02-07", "2040-03-09", "2040-04-09", "2040-05-08", "2040-06-08", "2040-07-09", "2040-08-07", "2040-09-07", "2040-10-08", "2040-11-06", "2040-12-07", "2041-01-07", "2041-02-05", "2041-03-08", "2041-04-08", "2041-05-07", "2041-06-07", "2041-07-08", "2041-08-06", "2041-09-06", "2041-10-07", "2041-11-05", "2041-12-06", "2042-01-06", "2042-02-04", "2042-03-07", "2042-04-07", "2042-05-06", "2042-06-06", "2042-07-07", "2042-08-05", "2042-09-05", "2042-10-06", "2042-11-04", "2042-12-05", "2043-01-05", "2043-02-03", "2043-03-03", "2043-04-03", "2043-05-04", "2043-06-01", "2043-06-30", "2043-07-31", "2043-08-31", "2043-09-29", "2043-10-30", "2043-11-30", "2043-12-29", "2044-01-29", "2044-02-29", "2044-03-29", "2044-04-29", "2044-05-30", "2044-06-28", "2044-07-29", "2044-08-29", "2044-09-27", "2044-10-28", "2044-11-28", "2044-12-27", "2045-01-27", "2045-02-27", "2045-03-28", "2045-04-28", "2045-05-29", "2045-06-27", "2045-07-28", "2045-08-28", "2045-09-26", "2045-10-27", "2045-11-27", "2045-12-26", "2046-01-26", "2046-02-26", "2046-03-27", "2046-04-27", "2046-05-28", "2046-06-26", "2046-07-27", "2046-08-27", "2046-09-25", "2046-10-26", "2046-11-26", "2046-12-26", "2047-01-25", "2047-02-25", "2047-03-26", "2047-04-26", "2047-05-27", "2047-06-25"], "calendar": {"name": "Mexican stock exchange"}, "business_day_convention": "Following"}, "day_count": "Actual360", "face_value": 100.0, "issue_date": "2008-01-31", "maturity_date": "2047-09-26", "settlement_days": 1, "coupon_frequency": "31D", "main_sequence_asset_id": 119564, "business_day_convention": "Following", "floating_rate_index_name": "TIIE_28"}, "instrument_type": "FloatingRateBond"}, "pricing_details_date": "2025-08-27 00:00:00+00:00"}</v>
      </c>
    </row>
    <row r="29" spans="4:9" x14ac:dyDescent="0.3">
      <c r="D29" t="s">
        <v>13</v>
      </c>
      <c r="H29" t="s">
        <v>18</v>
      </c>
    </row>
    <row r="30" spans="4:9" x14ac:dyDescent="0.3">
      <c r="D30" t="str">
        <f t="array" ref="D30:F160">_xll.MS.GET_DATA_NODE(D6,D7,D8)</f>
        <v>time_index</v>
      </c>
      <c r="E30" t="str">
        <v>unique_identifier</v>
      </c>
      <c r="F30" t="str">
        <v>curve</v>
      </c>
    </row>
    <row r="31" spans="4:9" x14ac:dyDescent="0.3">
      <c r="D31" t="str">
        <v>2025-06-30T04:15:30Z</v>
      </c>
      <c r="E31" t="str">
        <v>POLYGON_UST_CMT_ZERO_CURVE</v>
      </c>
      <c r="F31" t="str">
        <v>H4sIAAe6B2kC/02OQQoDMQwD/5JzKLLkOFa/Vvr3LptCq5sYRug1hPHEA8ntX5hzOA7IwF88h2rdRPYuFi0BxT3H/o6pw6sIERW1OEc0j5QhNFZ1JtJi3XtHWzSbV4vFhq4PAR8WwXJvKyil6/0BtVJFW7kAAAA=</v>
      </c>
      <c r="H31" t="str">
        <f t="array" ref="H31:I38">_xll.MS.DECOMPRESS_CURVE(F31)</f>
        <v>days_to_maturity</v>
      </c>
      <c r="I31" t="str">
        <v>rate</v>
      </c>
    </row>
    <row r="32" spans="4:9" x14ac:dyDescent="0.3">
      <c r="D32" t="str">
        <v>2025-07-01T00:00:00Z</v>
      </c>
      <c r="E32" t="str">
        <v>BANXICO_M_BONOS_OTR</v>
      </c>
      <c r="F32" t="str">
        <v>H4sIAOW5B2kC/0VROXLEMAz7i2qPhgTv/Vomfw/oLeJGNkjj0s/R81G58v9opD0H9sUVXilt0tU+z+k8n7k9UO/IidaUfI6WfPGZ7mhHNvAcs154wiVdG6RWbpvHy67i3C0RTAXJIxZXuuF3S4OSo89JceIZdadcR63NBMFB90sEcUq7+cDcaL9kzsetcGGgbkyUkEklOMCg+E810zFHbQBrNgG43+yC0Sip6ElDKU6Buj6clDtUBpt5ubQS1zQitVvg2ZywnzVsfd10e6I9nqwVucVasivubtkV7sVOJN+rUNxShCUUNbrpQzdMxeVLAZ0WjL+mxQ0bp66Gw40daGf+/gFg/KRJ1wEAAA==</v>
      </c>
      <c r="H32" t="str">
        <v>30</v>
      </c>
      <c r="I32">
        <v>4.2799999999999241E-2</v>
      </c>
    </row>
    <row r="33" spans="4:9" x14ac:dyDescent="0.3">
      <c r="D33" t="str">
        <v>2025-07-01T04:15:30Z</v>
      </c>
      <c r="E33" t="str">
        <v>POLYGON_UST_CMT_ZERO_CURVE</v>
      </c>
      <c r="F33" t="str">
        <v>H4sIAAe6B2kC/02MSQoDQQzE/uJzE1wur/lamL+nhx5IdBXSR6jy1pc6MT/MlwyOcP3DsQ0zjlI0EEXlEMZcUs+O3ayYSvdMNyxB21Nh9ihYZOfc0f6dKoiqrAHblX5XOsdh/609kLSMrL6+58a/YrsAAAA=</v>
      </c>
      <c r="H33" t="str">
        <v>91</v>
      </c>
      <c r="I33">
        <v>4.4100000000000091E-2</v>
      </c>
    </row>
    <row r="34" spans="4:9" x14ac:dyDescent="0.3">
      <c r="D34" t="str">
        <v>2025-07-02T00:00:00Z</v>
      </c>
      <c r="E34" t="str">
        <v>BANXICO_M_BONOS_OTR</v>
      </c>
      <c r="F34" t="str">
        <v>H4sIAOW5B2kC/z2QyZEgQQgDfel3RwUCxDGuTYzvq67H8hSHSP0+eH725P6v8Zn38b6y9EbPwL2s32ftyg16TWRwsO+DuUdiUD0ZxqxOf59AXj1RMeETwS7JFfeKqViYKS/m+9A1Djth0ba9WuqWKVvzoPWphTNtnLB4H7mp4Z0Hu55sqzWTceM6sD6eRa7RqAUAfhuJxDCGGBtZI3jJNFz6MkrPlUGNHJ2q9LNO00vN5BeQmHVKMcjb1mLDDeivUUqD8BMCFfsMBaRIPbSR3gddOUWh8MMQr8wV1ql2jqF168PL+fiyzlJEa1C2CfHB0r7Icap2AkzlLd+/f5nR0J3PAQAA</v>
      </c>
      <c r="H34" t="str">
        <v>365</v>
      </c>
      <c r="I34">
        <v>3.9976262933006268E-2</v>
      </c>
    </row>
    <row r="35" spans="4:9" x14ac:dyDescent="0.3">
      <c r="D35" t="str">
        <v>2025-07-02T04:15:30Z</v>
      </c>
      <c r="E35" t="str">
        <v>POLYGON_UST_CMT_ZERO_CURVE</v>
      </c>
      <c r="F35" t="str">
        <v>H4sIAAe6B2kC/02OQQ4CMQwD/9LzCtlx0jp8DfF3KrpC+DqakV9DGE88kBJ+Y8xrNA9I4m99Dc06BGERFibgDdbdkq0qZ23gWb1jdNxSxOwVaDuzzW/uaCVz36BQBZe2hT6MTK5grFYt5fL7A3/pU1y5AAAA</v>
      </c>
      <c r="H35" t="str">
        <v>730</v>
      </c>
      <c r="I35">
        <v>3.8195620320616519E-2</v>
      </c>
    </row>
    <row r="36" spans="4:9" x14ac:dyDescent="0.3">
      <c r="D36" t="str">
        <v>2025-07-03T00:00:00Z</v>
      </c>
      <c r="E36" t="str">
        <v>BANXICO_M_BONOS_OTR</v>
      </c>
      <c r="F36" t="str">
        <v>H4sIAOW5B2kC/z2QW4olMQxD95LvS7Dl991a03sfOQMdKCis+CjSz9Hznevzdxrdn4PaMVJ4vJEJLY5Hdqyanj5Aq8fY52g/ilhFKnwivJZijkevnuGnA9KK87R3P1PQhq5GgZzs+G+bNmEjnuWGzynJ81W5dBPXrNYprRXUnhBl1jBYwLyCL5J2KnotXFoiuoSLtcrwsWqel/CE6zCcJhUDdodbvg8lgtxepZZGgxs0to2CQb/gQ0HqVoiQ1fTSJ5itoDdaEhNZE2uP2I1ou+gYd4cmNrtx/3y9WZeNl2bzf0tk12wdqOvOMMpus/u5s/DN73p5yUgSm+3y9x8RZafH1wEAAA==</v>
      </c>
      <c r="H36" t="str">
        <v>1825</v>
      </c>
      <c r="I36">
        <v>4.1308056844049326E-2</v>
      </c>
    </row>
    <row r="37" spans="4:9" x14ac:dyDescent="0.3">
      <c r="D37" t="str">
        <v>2025-07-03T04:15:30Z</v>
      </c>
      <c r="E37" t="str">
        <v>POLYGON_UST_CMT_ZERO_CURVE</v>
      </c>
      <c r="F37" t="str">
        <v>H4sIAAe6B2kC/02NOQ4DMQwD/6LaCMiVqCNfC/L3GPEWq4IFB0N9zGFvvBAe8zguGx4QfPRVyzx1CAk6r05kpPuyusd8ehpqRTWu6FjGvm7LMUROO1PQ/PeOppD7zt1KmVvCHESquvcTInJU3x8zp9FEuAAAAA==</v>
      </c>
      <c r="H37" t="str">
        <v>3650</v>
      </c>
      <c r="I37">
        <v>5.2928265015280342E-2</v>
      </c>
    </row>
    <row r="38" spans="4:9" x14ac:dyDescent="0.3">
      <c r="D38" t="str">
        <v>2025-07-04T00:00:00Z</v>
      </c>
      <c r="E38" t="str">
        <v>BANXICO_M_BONOS_OTR</v>
      </c>
      <c r="F38" t="str">
        <v>H4sIAOW5B2kC/0WRS3LAMAxC7+J1xiOhf67W6d2LsmmWYD/A+Tl63rny/5lIPgf2yWnuk1HRMW7P6Tpv3w4A2tJuWeXP0erV87sdItUQq+eY6upl3V5ibmIByjErR6LSpphR2v2cbGxqq3lIYxJo0kvloxfbYazCZowdC35elas5mKoojTBsHQn7nAithbWMiNo6SZZicCXcVKCi8KGD0b2TcjsjUy3DueQbx3WVcYedWgwxPE2jBWvIFdPZDXCkfwYHstBl7hSQNFr5qr6oCLlehl2R4kMU+zPdiWKGKB98BkZUOoiC2mboVKg3w3OnmDNeDZfwnOCPIrL69w+UkoKt1AEAAA==</v>
      </c>
      <c r="H38" t="str">
        <v>10950</v>
      </c>
      <c r="I38">
        <v>0.1126987931233496</v>
      </c>
    </row>
    <row r="39" spans="4:9" x14ac:dyDescent="0.3">
      <c r="D39" t="str">
        <v>2025-07-05T00:00:00Z</v>
      </c>
      <c r="E39" t="str">
        <v>BANXICO_M_BONOS_OTR</v>
      </c>
      <c r="F39" t="str">
        <v>H4sIAOW5B2kC/0VRuXEEMQzrRfGOhj/Ba83j3g3uBVagAMJH6ufo+cyV/+Mi9Ryz88FFzLjBNdTR/RzkwqEzmIKFIIts7VrcRoEOx9Cn9Tluvu46RttKpI8tnFi6B2l0tpawxnMqbemtSa43ChBnakGWnzkzPRKJqkjiE+ejcqVhmRLeVr3tlXFv0WlLpW4DYvGeV1E15k7fCc2hlVrp+9IB69rszH41vW3nIicquiKGitmHZl3VCwXts7in8u863hi9XJ4SAV4ptxrrpX5NolQ4ugfzaGYs8kp6P8C5Q2nGG4f0oZnlZYp38ZrJtO+UygZVt1TpZBb8AMHvHy7jJbbVAQAA</v>
      </c>
    </row>
    <row r="40" spans="4:9" x14ac:dyDescent="0.3">
      <c r="D40" t="str">
        <v>2025-07-07T00:00:00Z</v>
      </c>
      <c r="E40" t="str">
        <v>BANXICO_M_BONOS_OTR</v>
      </c>
      <c r="F40" t="str">
        <v>H4sIAOW5B2kC/0WPSY4YMQwD/+JzoyGKWudrwfw9dOcQHym5VPxzcH763f+vIuM5Hjee2EYMLZjDfc70+ZnXxswWxfXu4HPQdnOtOhgz6bv9HHp+cUdtB8Yy/VKYvDlTGPTsRKVpPxf/cpCTnY6gS6b645SoK3gvh/TnND6dMWrTgQhs5XO29tpXpRYFV6llSdNGB/ZlNWVfjZKwPsDN7iATxoV7I5F3IPHvh2Pcb2Es86IaQsFeC9AQ6yanwTeZbyJ507cKW+sVTN0FA1747OaUVVe2iviM7oOvkdHrWeUc150S9Px4vznTadD9Ms7cMp5SiH7dacysYI3t718nBQoO0wEAAA==</v>
      </c>
    </row>
    <row r="41" spans="4:9" x14ac:dyDescent="0.3">
      <c r="D41" t="str">
        <v>2025-07-07T04:15:30Z</v>
      </c>
      <c r="E41" t="str">
        <v>POLYGON_UST_CMT_ZERO_CURVE</v>
      </c>
      <c r="F41" t="str">
        <v>H4sIAAe6B2kC/0WNSQ4DQQwC/+JzK4K28ZKvRfl7RuksXIuChznsjhvCC79wa9nwgOD8U7XMU4dwwzMxORr1XlbfMZAcqUtEB5ex90dyd2Rkh0cR+Z47luSqypmrIOB6IuYwshtN+LSQmf18Ad1+50S5AAAA</v>
      </c>
    </row>
    <row r="42" spans="4:9" x14ac:dyDescent="0.3">
      <c r="D42" t="str">
        <v>2025-07-08T00:00:00Z</v>
      </c>
      <c r="E42" t="str">
        <v>BANXICO_M_BONOS_OTR</v>
      </c>
      <c r="F42" t="str">
        <v>H4sIAOW5B2kC/0WRO3IAMQhD7+J6xwOI714tk7tHbBMXLiSQH/jn6Hnrzv9JD3+O9coZlVkwg7s4njNfdYWmhjrgNd3P0bbV29kvbebWsHwOQr70DhGNYrhhZvU6b18EulgdDTXT50TK6swXZIendQxzSj4dJjwp4WHKmFrKJnyETFf5uILlg9U9L/vInvAIwqt8OJEXTQGqBABzVHPOmzU02oQawWbnyszzejGJtaU2Im5e67SsY7dcJloneK/RChroK6lKOcGF9K4UGwbETfYENLJJurt2Pm/FwTP5JOfR4PWchHBRanHHfLE6xXs3ohxsh+FnqDSZHErG3z9DiId40AEAAA==</v>
      </c>
    </row>
    <row r="43" spans="4:9" x14ac:dyDescent="0.3">
      <c r="D43" t="str">
        <v>2025-07-08T04:15:30Z</v>
      </c>
      <c r="E43" t="str">
        <v>POLYGON_UST_CMT_ZERO_CURVE</v>
      </c>
      <c r="F43" t="str">
        <v>H4sIAAe6B2kC/03MSw5CQQhE0b0w7hgKKD5uzbh3O7YvT4ac1H2Jqzz1oeGc+8yXDA4E/qBqiSePgNAKpjWUnUvqiik0zXyapjQuQdtv5LUxyNSxpse3d2b7ydyp7KrwyG3QOQhM7WmOaXsQ8/4ApFMOe7sAAAA=</v>
      </c>
    </row>
    <row r="44" spans="4:9" x14ac:dyDescent="0.3">
      <c r="D44" t="str">
        <v>2025-07-09T04:15:30Z</v>
      </c>
      <c r="E44" t="str">
        <v>POLYGON_UST_CMT_ZERO_CURVE</v>
      </c>
      <c r="F44" t="str">
        <v>H4sIAAe6B2kC/02MSwrDUAwD7+L1o1iWv71a6d2b5AVSMbth9BGqvPWlzphnxiWDLRx/omoJM7YBFIR1anrySOo+42QbowcNc/claLsj69CDNDLNNK6/nYVzSgs+k6VxOuhsCWR0NfPEKur7A+lg4NS7AAAA</v>
      </c>
    </row>
    <row r="45" spans="4:9" x14ac:dyDescent="0.3">
      <c r="D45" t="str">
        <v>2025-07-10T00:00:00Z</v>
      </c>
      <c r="E45" t="str">
        <v>BANXICO_M_BONOS_OTR</v>
      </c>
      <c r="F45" t="str">
        <v>H4sIAOW5B2kC/z1RS24FMQy6S9ajkf/gd7Xq3b12KjW7YIKB/Bw9H7wp/0cV9hzzhYNRUVYQyVbkc5gX98jsKMCFOnRF/fFHwOEotFiNTF88adFK8xak+3Pm/cU7RZupZuoRz4nu8+ErSSFGySwJPqf68rk+h8kuUvAciF2+MMdnlkighk9g+Q0PLzGBp87a5pWPDh+PIlVdNTLq5A4aNVYkZ23XxiqZvf1GtYcqtRDJ3Lxpd2AxhhAyntS3N9XaAadGpbRMbdw6V0hlnbbRzBgXxy5WncTNaHQ5rUonscUImb1Q0dRpWzJkPc11UqS/BZ2+oPM/U+T3F2WaumXLAQAA</v>
      </c>
    </row>
    <row r="46" spans="4:9" x14ac:dyDescent="0.3">
      <c r="D46" t="str">
        <v>2025-07-10T04:15:30Z</v>
      </c>
      <c r="E46" t="str">
        <v>POLYGON_UST_CMT_ZERO_CURVE</v>
      </c>
      <c r="F46" t="str">
        <v>H4sIAAe6B2kC/03MWwoDQQhE0b30dxMsLV+ztZC9R9IDGT/rcnwvk3XJS2je/1Pbq3EC8QiZe1n4KYDAoBUSDBuS9zPrKDWvRkFJ7oXSG2kny5JJd1X9vTvKZ7FUEQwZ6sOkTwS8Zg5hE2zLzxerABUfugAAAA==</v>
      </c>
    </row>
    <row r="47" spans="4:9" x14ac:dyDescent="0.3">
      <c r="D47" t="str">
        <v>2025-07-11T04:15:30Z</v>
      </c>
      <c r="E47" t="str">
        <v>POLYGON_UST_CMT_ZERO_CURVE</v>
      </c>
      <c r="F47" t="str">
        <v>H4sIAAe6B2kC/02NQQ4CMQwD/9LzCtlx3CZ8DfF3KipW+Dqa8WsI44kHUgv3GL5G84Ak/tbX0PQhFKZmdLtUnnmN9auBRHBKpfYGrPD9E9XJhhArv7kjeWfQoLcpa20LfRgDtapMu8NGvj90QTJSuQAAAA==</v>
      </c>
    </row>
    <row r="48" spans="4:9" x14ac:dyDescent="0.3">
      <c r="D48" t="str">
        <v>2025-07-14T04:15:30Z</v>
      </c>
      <c r="E48" t="str">
        <v>POLYGON_UST_CMT_ZERO_CURVE</v>
      </c>
      <c r="F48" t="str">
        <v>H4sIAAe6B2kC/0WNSQ4CQQwD/5JzC8VZ23wN8Xcimhms3Cplv8RVnvrQ8NY7sFxCHBDgP91LvPIQmHqVspjMbUv6KlMAzNyd0B1Ygm0/ybNpFbQMbrVv3bHmP4rgzAerOZbyMBgyZgnwUM69P3dQiz+5AAAA</v>
      </c>
    </row>
    <row r="49" spans="4:6" x14ac:dyDescent="0.3">
      <c r="D49" t="str">
        <v>2025-07-15T04:15:30Z</v>
      </c>
      <c r="E49" t="str">
        <v>POLYGON_UST_CMT_ZERO_CURVE</v>
      </c>
      <c r="F49" t="str">
        <v>H4sIAAe6B2kC/03NSw5CMQxD0b1kXKF87YStobd3CgVBpkfXeUio3PWmGTW/81gydiDtD8glgTpisDBXeE1YAEv4XVPsjmmKyugt1v6pMr2NHO8kGe+9UxUmdb+ocO18RTqHzH0A9jipVajrCWDVzWG5AAAA</v>
      </c>
    </row>
    <row r="50" spans="4:6" x14ac:dyDescent="0.3">
      <c r="D50" t="str">
        <v>2025-07-16T04:15:30Z</v>
      </c>
      <c r="E50" t="str">
        <v>POLYGON_UST_CMT_ZERO_CURVE</v>
      </c>
      <c r="F50" t="str">
        <v>H4sIAAe6B2kC/02OQQ4DMQgD/5JzVNkYCPRr1f69abNS64MPjMbiNYTxxAOu6F9MczQPcOIvPYcyDqHBgWVlQpJzrHtMXZ2yWhmei4w5WHZb2oflAoUKKb+Dx4vcX8RuUu7lvj30gbSPWEjzBMN0vQGRdyyWvAAAAA==</v>
      </c>
    </row>
    <row r="51" spans="4:6" x14ac:dyDescent="0.3">
      <c r="D51" t="str">
        <v>2025-07-17T04:15:30Z</v>
      </c>
      <c r="E51" t="str">
        <v>POLYGON_UST_CMT_ZERO_CURVE</v>
      </c>
      <c r="F51" t="str">
        <v>H4sIAAe6B2kC/02NSw7CUAwD75L1E4rjfLka6t0pfUXg7WjGL6HKUx/qjPnNuGSwgUP/NkuYsQlcuyyciGFNLqlvTQ1p9EpvB8uXoO3WOF6AVXSE4uptK9LHYs4XotPmY+lsCGNon7AYTVMcb5tpxl27AAAA</v>
      </c>
    </row>
    <row r="52" spans="4:6" x14ac:dyDescent="0.3">
      <c r="D52" t="str">
        <v>2025-07-18T04:15:30Z</v>
      </c>
      <c r="E52" t="str">
        <v>POLYGON_UST_CMT_ZERO_CURVE</v>
      </c>
      <c r="F52" t="str">
        <v>H4sIAAe6B2kC/02NMQ4DQQgD/7L1KcILGJyvRfl7UPaKc4dGM3yW23rby8JDj+FawgFhjwXiWs48CHu8dJpcfa26W3OIkwPA7gHofRvu3pSJWfKsf+tIScsqKMpAMMcyHYbtAQvtJoPz6/sDXnzfbrcAAAA=</v>
      </c>
    </row>
    <row r="53" spans="4:6" x14ac:dyDescent="0.3">
      <c r="D53" t="str">
        <v>2025-07-21T04:15:30Z</v>
      </c>
      <c r="E53" t="str">
        <v>POLYGON_UST_CMT_ZERO_CURVE</v>
      </c>
      <c r="F53" t="str">
        <v>H4sIAAe6B2kC/02NMQ4DQQgD/0K9ijBgFvK16P4ekr3iXDIe8xFXeetLw6MfwZLGAQF9pJd48hCdoiPVlJVlS/Y95s2dc98gkzkEZbdk27GzwhLGxH/uWCRmMyI6QO+fpX0YTGNeVDdRPvj6AvP8sKe5AAAA</v>
      </c>
    </row>
    <row r="54" spans="4:6" x14ac:dyDescent="0.3">
      <c r="D54" t="str">
        <v>2025-07-22T04:15:30Z</v>
      </c>
      <c r="E54" t="str">
        <v>POLYGON_UST_CMT_ZERO_CURVE</v>
      </c>
      <c r="F54" t="str">
        <v>H4sIAAe6B2kC/02MSQ4CQQwD/5JzCzlxVr6G+Ds99Ajho8vllxDyxAPOwi9qsWT0AFf8ZZYw4xD05DS8tDi+pO4vDtPGylMNLG6kbbdkzEEQ1yTp8f07XniyIzvLurP78jAHqvZW1Zy6G/V8fwDpWSrguwAAAA==</v>
      </c>
    </row>
    <row r="55" spans="4:6" x14ac:dyDescent="0.3">
      <c r="D55" t="str">
        <v>2025-07-23T04:15:30Z</v>
      </c>
      <c r="E55" t="str">
        <v>POLYGON_UST_CMT_ZERO_CURVE</v>
      </c>
      <c r="F55" t="str">
        <v>H4sIAAe6B2kC/02NSw5CQRAC7zLrFwP0b9qrGe9ux3kxsmBDqngtw3riAbfCL1Rcq3kGJ/7S17KMs1BwoLRlSPJadcusd6dpV4ZnkWPj1k0ZGqoyJZUeX9/BIqyd0aqBpodCn22uqmSq+UoI8f4AiwAl/7oAAAA=</v>
      </c>
    </row>
    <row r="56" spans="4:6" x14ac:dyDescent="0.3">
      <c r="D56" t="str">
        <v>2025-07-24T04:15:30Z</v>
      </c>
      <c r="E56" t="str">
        <v>POLYGON_UST_CMT_ZERO_CURVE</v>
      </c>
      <c r="F56" t="str">
        <v>H4sIAAe6B2kC/0WOSQ4CMRAD/5JzhOx2euNriL8TEWbwtVQlv4YwnnhgKXGP5nM0D1js/zLnUPghXChlyq3bWdvJqwZjIKxrM9LmYNnPkm9D0goK7G/vWO61LArJRKp3j+jDaKjeT9yjPYPx/gDaDLVsugAAAA==</v>
      </c>
    </row>
    <row r="57" spans="4:6" x14ac:dyDescent="0.3">
      <c r="D57" t="str">
        <v>2025-07-25T04:15:30Z</v>
      </c>
      <c r="E57" t="str">
        <v>POLYGON_UST_CMT_ZERO_CURVE</v>
      </c>
      <c r="F57" t="str">
        <v>H4sIAAe6B2kC/0WOSQ4CQQwD/5JzC9nZw9cQf6dFM4MPPqRUVl5ikCcecCvcocaS4QHO+adqiWUcQkOC0YBmF31JXWtQ1tSg07h7CVt/limYuU3UHjT7Dh4twnK89t0znPsJYg4ju9WoGnRPnXh/ANp8Cea7AAAA</v>
      </c>
    </row>
    <row r="58" spans="4:6" x14ac:dyDescent="0.3">
      <c r="D58" t="str">
        <v>2025-07-28T04:15:30Z</v>
      </c>
      <c r="E58" t="str">
        <v>POLYGON_UST_CMT_ZERO_CURVE</v>
      </c>
      <c r="F58" t="str">
        <v>H4sIAAe6B2kC/02Nyw1DQQgDe+G8igzGC6S1KL3ns4n0fB3N+GGE3XFDci6LWDZ+QOKy9FzGrYOc2OUIqKOUe1n9cwhvRuwpasBl3vGzyNC0KE5J/e0dSyrgo3Rwj95XjjnMw1Fd6T2S0M8XV7gTKroAAAA=</v>
      </c>
    </row>
    <row r="59" spans="4:6" x14ac:dyDescent="0.3">
      <c r="D59" t="str">
        <v>2025-07-29T04:15:30Z</v>
      </c>
      <c r="E59" t="str">
        <v>POLYGON_UST_CMT_ZERO_CURVE</v>
      </c>
      <c r="F59" t="str">
        <v>H4sIAAe6B2kC/03Muw3DMBRD0V1UGwHJ989qQXaPArkw24vDzzKsN15wm8ekaw1PcDzm9GtZxkkkBFhZQGN1rbrfbLKVU1l/YdqIrVspYWoqxeqMc3hcuKtg2bkPpxDbYU4kE4gEYdux+/sDwVlgP70AAAA=</v>
      </c>
    </row>
    <row r="60" spans="4:6" x14ac:dyDescent="0.3">
      <c r="D60" t="str">
        <v>2025-07-30T04:15:30Z</v>
      </c>
      <c r="E60" t="str">
        <v>POLYGON_UST_CMT_ZERO_CURVE</v>
      </c>
      <c r="F60" t="str">
        <v>H4sIAAe6B2kC/2WOQRJCMQhD78K64xASSvFqjne336ob2b7khYfR7e43l+C/Q+Swxj9w72GceQgmqHIVvJkaVl+ZJyfDV0SnumsYVnxaJKAsNBUo6C08vSu7Mqorp6C9tc2HYUfX9YyoSfbzBWwgfn26AAAA</v>
      </c>
    </row>
    <row r="61" spans="4:6" x14ac:dyDescent="0.3">
      <c r="D61" t="str">
        <v>2025-07-31T04:15:30Z</v>
      </c>
      <c r="E61" t="str">
        <v>POLYGON_UST_CMT_ZERO_CURVE</v>
      </c>
      <c r="F61" t="str">
        <v>H4sIAAe6B2kC/02MSQ7CQBDE/jLnEarq6pWvofydiASEr5b9WsJ64gH3wQ+a9hregvhj9lLGZejosnAxRjW5V31vCAc7rDM0vRfb7kiiDFlWbjXMz++qwtsqs1020ZCfHeaSZImdXqFEne3xBgfe1Li7AAAA</v>
      </c>
    </row>
    <row r="62" spans="4:6" x14ac:dyDescent="0.3">
      <c r="D62" t="str">
        <v>2025-08-01T00:00:00Z</v>
      </c>
      <c r="E62" t="str">
        <v>BANXICO_M_BONOS_OTR</v>
      </c>
      <c r="F62" t="str">
        <v>H4sIAOW5B2kC/0VQx20EMRDrZd8HgRM44Voz3LupswHrJ1Ji+nrseRsO/o+x4vW4/+HMXngusTGvZ/i898xEFpJkcKZej9V+cA4qB/TMnH09EX3xzRpjhqW1pWQi81e/OiRVXawSTv7iO0yvnW12jIhCiKjcI/EJhWn5yLmmPz9MHmkLBGKFN+Z5ZziPERWe3dNNRQXF+GyeCLpuqngrxEC425xd6EOqmXqLocnc4XFW6jXK2w0X01fLOu1MLaN3k/AWM3uXLdujiUJtYObbd9m62wbjdKk/tUn2aPNA4XYBTrteaxvIQT5Fu21KC0POi7Fq+6SGVlW4jcPqGXWMQPr3DxwWtVHaAQAA</v>
      </c>
    </row>
    <row r="63" spans="4:6" x14ac:dyDescent="0.3">
      <c r="D63" t="str">
        <v>2025-08-01T04:15:30Z</v>
      </c>
      <c r="E63" t="str">
        <v>POLYGON_UST_CMT_ZERO_CURVE</v>
      </c>
      <c r="F63" t="str">
        <v>H4sIAAe6B2kC/0XMQRLDMAhD0bt47elICAz0ap3cvWmcSdk+vj5DGG+84N54jqY5mhsUf8APtOISNaIQK8FSlc2R95iyGg5mpySuOVi2IyeK6HS3jl55ze0qrMBIU1hUimeF3kZ60uz8MJPC+/gC+HsvSLkAAAA=</v>
      </c>
    </row>
    <row r="64" spans="4:6" x14ac:dyDescent="0.3">
      <c r="D64" t="str">
        <v>2025-08-04T00:00:00Z</v>
      </c>
      <c r="E64" t="str">
        <v>BANXICO_M_BONOS_OTR</v>
      </c>
      <c r="F64" t="str">
        <v>H4sIAOW5B2kC/0WQS5IkMQhD75LrCgeIn6irdfTdR85ZtJcSPCH/PP5899jfC7P+PMDz5WEE0DmNCbZk9pVHUzWYZiy2Po/PXL1yd72QhS6PzxNu/+djiTVOr2OkF995gSy3vEEUP0/zvWY2txWrmChhxvbFXPzQ0ts7r454vm7Hyys9fZ21l+9WeJ2KGRuDK0es1xHL0XEycqGlzqvrvLsRc4RZtCe6B7cbVW5S+WB0GNJYKYPm18BRM6/oUk7zNXgNOxZOHV2z1FXIS9JJZ8ma1L9y22XsKDzLTu6UBbTLGf13J4SC8XgykkVasd4ikX6b7AnBVMvctYfff2pQgLrTAQAA</v>
      </c>
    </row>
    <row r="65" spans="4:6" x14ac:dyDescent="0.3">
      <c r="D65" t="str">
        <v>2025-08-04T04:15:30Z</v>
      </c>
      <c r="E65" t="str">
        <v>POLYGON_UST_CMT_ZERO_CURVE</v>
      </c>
      <c r="F65" t="str">
        <v>H4sIAAe6B2kC/0WMSQ7DQAzD/uLzoLAtL3K+VvTvHWQCRFeK/ApULv1oRM87tyVjByD1nWMJKm8CZrRmDzLcikv6iaE5Ezqk9SazxOhHCiVm39lOsuzOHSu9Chw03Azh29I5zCy8rRNguavO7w94kiUFuQAAAA==</v>
      </c>
    </row>
    <row r="66" spans="4:6" x14ac:dyDescent="0.3">
      <c r="D66" t="str">
        <v>2025-08-05T00:00:00Z</v>
      </c>
      <c r="E66" t="str">
        <v>BANXICO_M_BONOS_OTR</v>
      </c>
      <c r="F66" t="str">
        <v>H4sIAOW5B2kC/0WQQW7FQAhD75J1FGHABv7Vqt69TFqpszTDs/HXheszj/2/MNN9eV+ffugzRTFiZLyvwVGzICo1JVP5faF4dO+hWVeKXRH3Fe4HDlYpTGo6Z+HBOv+jFdlR7bZ63pf4htEkkZZtjGKvXvOmmay1FTOptdXE9YE9xpJAAX1wm8f8dyEOIsEZxwHBqt8V0ZizmjfUaw2X7QQPbEWGZqKCeI+rk2q2gwyfZlYdVhXejb2txY3aCxXfSb+Trl73DeGxDayL52EhtpIR0nNcaXYmk/ZHa1kJmo7m0hSzNOeDTR8GgJY4NcICG0F6rDBbZdWEcb5/AMJs+gPVAQAA</v>
      </c>
    </row>
    <row r="67" spans="4:6" x14ac:dyDescent="0.3">
      <c r="D67" t="str">
        <v>2025-08-05T04:15:30Z</v>
      </c>
      <c r="E67" t="str">
        <v>POLYGON_UST_CMT_ZERO_CURVE</v>
      </c>
      <c r="F67" t="str">
        <v>H4sIAAe6B2kC/0WNwQ0CQQwDe8l7hZw4cTa0huid0y0Cf8djv4ywJx7IHPziwWXjB5Dzj3oZVTfhlKaq1Nxi72X9HeMOJII5HFRHLfMdx0qHak+2Xy8l3ntHq1A4EC5BTOjSMAde7Zku9CSjhXp/AP4XydW7AAAA</v>
      </c>
    </row>
    <row r="68" spans="4:6" x14ac:dyDescent="0.3">
      <c r="D68" t="str">
        <v>2025-08-06T04:15:30Z</v>
      </c>
      <c r="E68" t="str">
        <v>POLYGON_UST_CMT_ZERO_CURVE</v>
      </c>
      <c r="F68" t="str">
        <v>H4sIAAe6B2kC/0XMSwrDQAwD0LvMOhTZ8jdXK7l73UwgWhjDQ/ouYp34wCz7jcqxWjZQ8YYDDL+FPV9qKSHzjeQzxqxyK4ZBW8OPJaW7ZIJBtsKrQd5zu+UanGMVhSjNfw29UcTKxpmcRYu4fizDtMC6AAAA</v>
      </c>
    </row>
    <row r="69" spans="4:6" x14ac:dyDescent="0.3">
      <c r="D69" t="str">
        <v>2025-08-07T00:00:00Z</v>
      </c>
      <c r="E69" t="str">
        <v>BANXICO_M_BONOS_OTR</v>
      </c>
      <c r="F69" t="str">
        <v>H4sIAOW5B2kC/0VQOXIEIAz7CzXDWL69X8vk7xFsEehsWdfPwvrUmf+XHr6X2h37OLQyRqA22KtzffqIzvQopNCSuRdy7hwWVVaFqDStvUz9zUnZkUa8aBBvoXduJnyo5OfRXhT6zi1GHUJcTe+V9XgSQXxCulOa/IXnpybMW8uy4YRP9nWf6TkRQ24PIT0PyT/HIkg019NYMy0wcxfhgvAaTVHpeMHyXTitmMDVmYASYJT1gRwxUaKqmKO+i3oLmIsxLetzu4VeJuBQi+QBAdu5GtpFcdhBGHrSUsBWlbHNyKUsnKYCbulM/oJoUN7rtDDssBQFzH7/AE5mPR7PAQAA</v>
      </c>
    </row>
    <row r="70" spans="4:6" x14ac:dyDescent="0.3">
      <c r="D70" t="str">
        <v>2025-08-07T04:15:30Z</v>
      </c>
      <c r="E70" t="str">
        <v>POLYGON_UST_CMT_ZERO_CURVE</v>
      </c>
      <c r="F70" t="str">
        <v>H4sIAAe6B2kC/0WMQQ4CMQzE/tJzhTIzSZrwNbR/p2wR+GrZryEbT3uYe9sPUHM0jhD/woQ5lHEbdSwjTSyoLOdY35mKu/MmIoo1B4qncQi00FJujPftRMGVWNtx4ZPuH6yPBDyjO5PycHRfb/LLjzi5AAAA</v>
      </c>
    </row>
    <row r="71" spans="4:6" x14ac:dyDescent="0.3">
      <c r="D71" t="str">
        <v>2025-08-08T00:00:00Z</v>
      </c>
      <c r="E71" t="str">
        <v>BANXICO_M_BONOS_OTR</v>
      </c>
      <c r="F71" t="str">
        <v>H4sIAOW5B2kC/zWQS27FMAwD75L1g6G/yHe1oncvHaDJKqN4RPPn8ee7Z4v/D+D5eWJfbBMoH2fOXkx7cQJmYDpjMj6P47XoV0JvExnJz5PFy9kdjR3KhirxnueLY1UeKznSU7ibF1dLC1pzfWUZvjjLzGIx7VSCz7M3JM5AXx13mlfOFJ7D6swVxRi3FdLq9bAxyrdeyczRwAfPl0cZVnsRBeM1+UzfE0Ck1epM29LvYHlPYOGBDWkYO28RcQdcIBtqbWvt9plX5XYmMozhm3LtnaC03eO0DIZaladEkk2aaoo56plwJatux11j4QpQfcrFmdRlfGt+/wDKt6iH0AEAAA==</v>
      </c>
    </row>
    <row r="72" spans="4:6" x14ac:dyDescent="0.3">
      <c r="D72" t="str">
        <v>2025-08-08T04:15:30Z</v>
      </c>
      <c r="E72" t="str">
        <v>POLYGON_UST_CMT_ZERO_CURVE</v>
      </c>
      <c r="F72" t="str">
        <v>H4sIAAe6B2kC/0WOSQ4CQQwD/9LnEYoTZzFfQ/ydhkYaX0tV8muFrac9jGzdc1xLOCDc7sUGUfkjoWpnF5NIoa/V/1hMhQ8znTKYeC2MH4sQnIN279J82Q4eLyOyGmqfHlltzXQYUBSmLPdRm9H7A+quYBe7AAAA</v>
      </c>
    </row>
    <row r="73" spans="4:6" x14ac:dyDescent="0.3">
      <c r="D73" t="str">
        <v>2025-08-09T00:00:00Z</v>
      </c>
      <c r="E73" t="str">
        <v>BANXICO_M_BONOS_OTR</v>
      </c>
      <c r="F73" t="str">
        <v>H4sIAOW5B2kC/zWQy20EMQxDe/F5YIj6a1sLtvdQE8THR4uk9HNwPnXL5/91w56jvjhmLFLKkYaq53QtTnePaD5E4DmofnGrc1htXAX9HNNYPoquFDGqKcs939DomER5ICPpHkqfvlZjU6Wjk7mpmS+H8Kl1eEqEkk8uT7QoYXWOBv+PvDyklBnNBZDj7MlWK7RJlRdEO8K4LWBcbK5YjCqZAzorpPkKbIS1ExSXegWn1WjajUjwDrHXeG/Bi3YUbrUgK3JMGK62Vhkut70ZIZbWwxFtMD0cc41WbCDeO5Ksfz7qprdbx70KzkZ/mzAfPn09V/LmxRzfX2o+kOLRAQAA</v>
      </c>
    </row>
    <row r="74" spans="4:6" x14ac:dyDescent="0.3">
      <c r="D74" t="str">
        <v>2025-08-10T00:00:00Z</v>
      </c>
      <c r="E74" t="str">
        <v>BANXICO_M_BONOS_OTR</v>
      </c>
      <c r="F74" t="str">
        <v>H4sIAOW5B2kC/z2QS27EMAxD7+J1EFB/aa5W9O6lPEC1yOIpJkX+HDmfegP/I1L6HNUvDvXiuHnAn9O+2K1UyhtQTavnSMXlFdGt8NGsbKrM5REygnRXH2nKmF+dGE5HuILq5D59Pv3CetzUohMIe07O/b+pitLmhShIPIffXUyNUMk7qAbyrrw8dTCNDoeuwfQ18ObdMCao4gkMYF27mMwwoBFtVXSWBK2HTZBVSBdm5CaW5c6XdE9x9pR0UJHYRdOwmB/CC1ZJ7au0kVW8RsM3gtZai7wIQTU7KsnCplanlOqbMxsapjFbnzA7c4S/Qcz3PgnW9fsHHAMg4c4BAAA=</v>
      </c>
    </row>
    <row r="75" spans="4:6" x14ac:dyDescent="0.3">
      <c r="D75" t="str">
        <v>2025-08-11T04:15:30Z</v>
      </c>
      <c r="E75" t="str">
        <v>POLYGON_UST_CMT_ZERO_CURVE</v>
      </c>
      <c r="F75" t="str">
        <v>H4sIAAe6B2kC/0WNSQoDQQwD/9LnIViWFzlfC/l7munA6CYKlT6Ltt72soiyJ1nXGhxAzpPqa7HyJtwNghk1ZF6r/y6q6IkcsGU1Wwb5GQVaGvcyhdRz684sycYWekYgfD/B5jAgJcUELRUJfH8dti+8uQAAAA==</v>
      </c>
    </row>
    <row r="76" spans="4:6" x14ac:dyDescent="0.3">
      <c r="D76" t="str">
        <v>2025-08-12T04:15:30Z</v>
      </c>
      <c r="E76" t="str">
        <v>POLYGON_UST_CMT_ZERO_CURVE</v>
      </c>
      <c r="F76" t="str">
        <v>H4sIAAe6B2kC/02MQQoDMQwD/5JzKJZlO3K/Vvr3hs3CVifBMPMZtPG2l0Wwn7nP0TiA/gdaMQcrL8Tej70qK0XrOdZdo9yW0KlkhGxLkB8rIKuStRctV+cVPF5yebqchSBhm8H6QEAIgEKqd6C+P6T1ELO9AAAA</v>
      </c>
    </row>
    <row r="77" spans="4:6" x14ac:dyDescent="0.3">
      <c r="D77" t="str">
        <v>2025-08-13T04:15:30Z</v>
      </c>
      <c r="E77" t="str">
        <v>POLYGON_UST_CMT_ZERO_CURVE</v>
      </c>
      <c r="F77" t="str">
        <v>H4sIAAe6B2kC/0WOSQoDQQwD/9LnIdiWFylfC/l7munA6FpUoc+Crbe9LBN6FnEt+QEhewZeC103AVVDK7KRQOa15l/D9DDaJfcabckZx0o3irarEWYVeQePVqGZFgl3ZrK3ZzpwhxgZ3fL9iYXvD9ayMGG8AAAA</v>
      </c>
    </row>
    <row r="78" spans="4:6" x14ac:dyDescent="0.3">
      <c r="D78" t="str">
        <v>2025-08-14T04:15:30Z</v>
      </c>
      <c r="E78" t="str">
        <v>POLYGON_UST_CMT_ZERO_CURVE</v>
      </c>
      <c r="F78" t="str">
        <v>H4sIAAe6B2kC/02NSwpCQRAD7zLrQTqd/sWriXf36QiaVaCo5LFo6243i2j94thLOID2n9qLlR9CRU2RU3M1Re7V3zVOOApNdlg6Yy+MHy1QnXAVWPKZs3i85KUIqrquQm8G04HAIL0BubJC/nwBUyWesr0AAAA=</v>
      </c>
    </row>
    <row r="79" spans="4:6" x14ac:dyDescent="0.3">
      <c r="D79" t="str">
        <v>2025-08-15T04:15:30Z</v>
      </c>
      <c r="E79" t="str">
        <v>POLYGON_UST_CMT_ZERO_CURVE</v>
      </c>
      <c r="F79" t="str">
        <v>H4sIAAe6B2kC/02MSQ4CMAzE/tJzhZJJJgtfQ/ydqEUCXy37tUzWUx7inv0DulfrFSb/xF4WPMY60tTR8EQw98rvzIrgYGxp+sy0cCPHdG1ZkKQoeX43o1tKVFl1qLMnm/w4hUgpDGBpFuP9AW2aPru6AAAA</v>
      </c>
    </row>
    <row r="80" spans="4:6" x14ac:dyDescent="0.3">
      <c r="D80" t="str">
        <v>2025-08-18T04:15:30Z</v>
      </c>
      <c r="E80" t="str">
        <v>POLYGON_UST_CMT_ZERO_CURVE</v>
      </c>
      <c r="F80" t="str">
        <v>H4sIAAe6B2kC/02MQQpCQQxD7zLrj7Rp2mm8mnh3yx9Bswq8vLxW2Hraw8jSL911LfkhAf0jXisqbxSqDZ/BFLT2SPv7F71pgfJKTbOxvHE0wjOLuYXoKN2HR0smfKeczQKVo5kOdDhs5giwcr7fH1pKPAW+AAAA</v>
      </c>
    </row>
    <row r="81" spans="4:6" x14ac:dyDescent="0.3">
      <c r="D81" t="str">
        <v>2025-08-19T04:15:30Z</v>
      </c>
      <c r="E81" t="str">
        <v>POLYGON_UST_CMT_ZERO_CURVE</v>
      </c>
      <c r="F81" t="str">
        <v>H4sIAAe6B2kC/02NQQpCQQxD7zLrjyRN22m9mnh3yx9Bs3rwSPJawnriAffEL5HXah4h/GeEMm6j9qyUKmuoPa61v2uqsDbDiAGva7HstJy5qVAZIwfiHjy1UMPQe7vSG6OIPo5sK4HzRd8Ivj9iu0rFuwAAAA==</v>
      </c>
    </row>
    <row r="82" spans="4:6" x14ac:dyDescent="0.3">
      <c r="D82" t="str">
        <v>2025-08-20T04:15:30Z</v>
      </c>
      <c r="E82" t="str">
        <v>POLYGON_UST_CMT_ZERO_CURVE</v>
      </c>
      <c r="F82" t="str">
        <v>H4sIAAe6B2kC/02MSwpCQRAD7zLrQbo76U+8mry7+3BELLIrKq8FW097GJn2w4N7yY+A/VN7ofJjIFRhRJ97rr36e4ZhgKS6J8Yj9/KJU9Ezo4TIRoTO38kSTQVFSVk+fWemI91nbGQREKPR1xv/gwlnuwAAAA==</v>
      </c>
    </row>
    <row r="83" spans="4:6" x14ac:dyDescent="0.3">
      <c r="D83" t="str">
        <v>2025-08-21T04:15:30Z</v>
      </c>
      <c r="E83" t="str">
        <v>POLYGON_UST_CMT_ZERO_CURVE</v>
      </c>
      <c r="F83" t="str">
        <v>H4sIAAe6B2kC/0XOyw0DQQgD0F44jyLA5pfWovSe0c5qw/XJxh+ByltfSo4+Z44lYwfgf1DYEmRcgukq1e60HqCX1F2GnnCLTG2N4hJrPxm6MVFOVAQ8r7YTCoLYr7erM/YC0zlmewLRzIzC0Of7A8BOT924AAAA</v>
      </c>
    </row>
    <row r="84" spans="4:6" x14ac:dyDescent="0.3">
      <c r="D84" t="str">
        <v>2025-08-22T04:15:30Z</v>
      </c>
      <c r="E84" t="str">
        <v>POLYGON_UST_CMT_ZERO_CURVE</v>
      </c>
      <c r="F84" t="str">
        <v>H4sIAAe6B2kC/0WNSQoDQQwD/9LnIciWN+VrIX9PMx0YnWSKkj+LWG+8EFF6MlPXkh3ijSfGuBYrb0ShUAOy1bnrtfq/x+4Jd9VklmlLNn6sgMojtR9yHH7vHStJl6OtFWk224IO21dbwkRlF/T9AZdJT1C7AAAA</v>
      </c>
    </row>
    <row r="85" spans="4:6" x14ac:dyDescent="0.3">
      <c r="D85" t="str">
        <v>2025-08-25T04:15:30Z</v>
      </c>
      <c r="E85" t="str">
        <v>POLYGON_UST_CMT_ZERO_CURVE</v>
      </c>
      <c r="F85" t="str">
        <v>H4sIAAe6B2kC/0XNyw0CQQwD0F7mPEJx/qY1RO8EZrXk+mzntUzWUx7iHnIf1PciDij/INZ7WcZPjEhVZ2jAhvaqa8zawCxE04U5gtZTcrg5GSgYLb+PZu/UwoKlGjJhjdHpCQ8CzXJ0ehd6Uu8PXtzsRrsAAAA=</v>
      </c>
    </row>
    <row r="86" spans="4:6" x14ac:dyDescent="0.3">
      <c r="D86" t="str">
        <v>2025-08-26T04:15:30Z</v>
      </c>
      <c r="E86" t="str">
        <v>POLYGON_UST_CMT_ZERO_CURVE</v>
      </c>
      <c r="F86" t="str">
        <v>H4sIAAe6B2kC/0WOSQoDQQwD/9LnJsiWvOVrIX/PMB0YXYsq9FnEeuMFyfEsaq+xA7zmWdtezLgJuyPGwbJQTexV/xgLTEzGJIJ7WftRhM6CVRVUKtddO1KQKZUJdKr90jCH2fVNrQQ1LRt+f60jbz24AAAA</v>
      </c>
    </row>
    <row r="87" spans="4:6" x14ac:dyDescent="0.3">
      <c r="D87" t="str">
        <v>2025-08-27T04:15:30Z</v>
      </c>
      <c r="E87" t="str">
        <v>POLYGON_UST_CMT_ZERO_CURVE</v>
      </c>
      <c r="F87" t="str">
        <v>H4sIAAe6B2kC/0WNSQ4DQQgD/9LnVsRmA/laNH8PmY40PlJ28Vku6y0viTB5gtyr9QBDPwH3cuImXoQpp4B0R++Vf5mzDKGcaQRZM9K5HJ9ozAerknZk3b4zg6smAQqj9CdU6cPUdFgKK+jlEdcXpFh1jboAAAA=</v>
      </c>
    </row>
    <row r="88" spans="4:6" x14ac:dyDescent="0.3">
      <c r="D88" t="str">
        <v>2025-08-28T04:15:30Z</v>
      </c>
      <c r="E88" t="str">
        <v>POLYGON_UST_CMT_ZERO_CURVE</v>
      </c>
      <c r="F88" t="str">
        <v>H4sIAAe6B2kC/0WNXQoDQQiD7+LzUIwaf3q1snfvdKeweTDgR5KPuMpbXxph+oi1ZHCAcR4xl3jyJt7NZFkXoMzcqP5tXgjP6f2v7bYEbScVCivaJJypirvvpGiVNch9dIK/LegcCEwEOqwaVOD6AmQkJgm6AAAA</v>
      </c>
    </row>
    <row r="89" spans="4:6" x14ac:dyDescent="0.3">
      <c r="D89" t="str">
        <v>2025-08-29T04:15:30Z</v>
      </c>
      <c r="E89" t="str">
        <v>POLYGON_UST_CMT_ZERO_CURVE</v>
      </c>
      <c r="F89" t="str">
        <v>H4sIAAe6B2kC/0WNxw3DQBADe7n3weAGbnBrhnv3QifIfDIMP8uw3njBXfBIlHu1nEC1/wrby4JXYhU0sSwDlfC98oZZlLIqvMokpIcm4xze4LOQnBNQ2i/g2VF72l0p0AHkzNAnE50q0GOIF1nfH3HoKGW7AAAA</v>
      </c>
    </row>
    <row r="90" spans="4:6" x14ac:dyDescent="0.3">
      <c r="D90" t="str">
        <v>2025-09-01T00:00:00Z</v>
      </c>
      <c r="E90" t="str">
        <v>BANXICO_M_BONOS_OTR</v>
      </c>
      <c r="F90" t="str">
        <v>H4sIAOW5B2kC/0VQS3IFQQi6y6ynuhTFz7taKncPnSziEhSBr8efj9ux/3FWvA/m+ezZpiONa/AZvs/6hYfwHLNmY1qwDy7eubvITASz8T6R8SePzmBxkJJZEZW/+tCBnqB28wqRfwdbEghdpSH7fcr0wCv6eLJsXUa1XlO/686r462F8fT3aevnIx97EL5DggnhbhSBLRzuTHcHmSUiekWg7cgkYbk9lmrCVYEYaz/WZdVhnBoRfbW8BwejjpQjwNpbx9q1yzpTNozJrE0VAtQtXMBRU5Y0W31SIRK4URCnZrsRO4G40ek3y9ihqY/0qa3B9Sx/+hNmSlmURCHL8/sHW7cJ3NYBAAA=</v>
      </c>
    </row>
    <row r="91" spans="4:6" x14ac:dyDescent="0.3">
      <c r="D91" t="str">
        <v>2025-09-02T04:15:30Z</v>
      </c>
      <c r="E91" t="str">
        <v>POLYGON_UST_CMT_ZERO_CURVE</v>
      </c>
      <c r="F91" t="str">
        <v>H4sIAAe6B2kC/03OQQoDQQhE0bv0egilVrWaq4W5eySdxbiThx8/K7DeeIHRj3G/VtsBe0KC14qtH0VJ1uawCrFG8l+LVDbDJNKpfS0rP0dEeuVsuyWUnd45UyR6isAeGDH0IXNG0qc1D1Ge9xf8d4lvugAAAA==</v>
      </c>
    </row>
    <row r="92" spans="4:6" x14ac:dyDescent="0.3">
      <c r="D92" t="str">
        <v>2025-09-03T04:15:30Z</v>
      </c>
      <c r="E92" t="str">
        <v>POLYGON_UST_CMT_ZERO_CURVE</v>
      </c>
      <c r="F92" t="str">
        <v>H4sIAAe6B2kC/02OSQoDQQwD/+JzEyzLa74W8vc00wMTHVVo+QhV3vpSp8+fsGRwAFof0X0JMy7E3jSDXZ6VnFhSdx1LA+UdNaMD5BK0nZgr2KiG2vaacTWeXFhVKiwxY4x9AzqHwbT2Rw8jck/O9wdQZS++vQAAAA==</v>
      </c>
    </row>
    <row r="93" spans="4:6" x14ac:dyDescent="0.3">
      <c r="D93" t="str">
        <v>2025-09-04T00:00:00Z</v>
      </c>
      <c r="E93" t="str">
        <v>BANXICO_M_BONOS_OTR</v>
      </c>
      <c r="F93" t="str">
        <v>H4sIAOW5B2kC/0WQQW4FMQhD7zLrrwgMGPhXq3r3OrNpFiPFJm9sfh5/vnvs/4QZPw8kzxlwnMhZ58R8nqkrNzY51pMBH8nevHrFmm8Uk27ozxO2V2dEN5yxtVOaj+p3vhAsT+G6qz6PoDdNN8uqIifbSmna5uVwdzkdkH35DTxft+ORlSJ7wyKhQFb+OoXMFYiV5h2vI5Yj9kwof4OUI5hj9r7xPky9C/Ma4q036teRJ2sLw43tvbAxBW5oJUrKkmEgXqOvUWeRWoWubnv3mhel8If6JFhiY2Us9fdMP+PB1DjqNmFCJFge2zUutBxVzdsk0m4VnqH7evgqmtfvHzr2XtvVAQAA</v>
      </c>
    </row>
    <row r="94" spans="4:6" x14ac:dyDescent="0.3">
      <c r="D94" t="str">
        <v>2025-09-04T04:15:30Z</v>
      </c>
      <c r="E94" t="str">
        <v>POLYGON_UST_CMT_ZERO_CURVE</v>
      </c>
      <c r="F94" t="str">
        <v>H4sIAAe6B2kC/02NQQ7DQAgD/7LnqMJmYXG/VuXvJZuoqi8cxmM+w2287WXT3X4B8xjCDZD2F8UxPGMjX5rdVYUv07yk9cx5lovMyRlc4cdA8bGUseBWTCKo3IO3FpBY/bKPUNUM/XJDoBTFy+5KuM4vhDCeHb0AAAA=</v>
      </c>
    </row>
    <row r="95" spans="4:6" x14ac:dyDescent="0.3">
      <c r="D95" t="str">
        <v>2025-09-05T00:00:00Z</v>
      </c>
      <c r="E95" t="str">
        <v>BANXICO_M_BONOS_OTR</v>
      </c>
      <c r="F95" t="str">
        <v>H4sIAOW5B2kC/0VQyY0DMQzrxe+BIVL3tBZs7ys7j+hlWDz1WVhvb/mNisSzmOutbS3hHSXeBvBZLffbVRCVVsxWexbSzj+zgqUBKYl8lvKKg6rGER4dcuDqceA6wqxMD7PQwYfLwUc6jZCMYz2ukXXw3jPVoePTMTrRXC9ki3ai0wte0Tp5RvfL8JRqdzsJ8iwyLyUUHJ+KUlVMYdB7NtiYEwDtQteQPuVO3GMj6Y6eGqlXLFMuJc3AuZEPVS/jumCXlysqdFKJTTDa1dINw9QuBHoeI8bWr3914xwxU926puW0Wy99u1aFkFBLNk8bxSSI3JSJMDcn6cDfP6S16IrWAQAA</v>
      </c>
    </row>
    <row r="96" spans="4:6" x14ac:dyDescent="0.3">
      <c r="D96" t="str">
        <v>2025-09-05T04:15:30Z</v>
      </c>
      <c r="E96" t="str">
        <v>POLYGON_UST_CMT_ZERO_CURVE</v>
      </c>
      <c r="F96" t="str">
        <v>H4sIAAe6B2kC/0WOSw5CQQgE78J6YhoYPu3VzLu76LwoYUFSqaZf4pAnHthG/EatllAPQP0BXJd4xpd4tjLSkYXuHKXuME/AUBkRDm7sJdp2W800hjrmp9mHTeDxAjSq0Xt7zeZ44IGqMb0CRau54noDrtkTsbsAAAA=</v>
      </c>
    </row>
    <row r="97" spans="4:6" x14ac:dyDescent="0.3">
      <c r="D97" t="str">
        <v>2025-09-06T00:00:00Z</v>
      </c>
      <c r="E97" t="str">
        <v>BANXICO_M_BONOS_OTR</v>
      </c>
      <c r="F97" t="str">
        <v>H4sIAOW5B2kC/0VQSW4AMQj7S86jCJt9vlb174W5NAcUGbCNfw7OW9f6/6U+h7aoZEdlqos0gOdULgyGaIhDYIaZRg5J3m5lItqs1XXwqTvPEhFUmDL6OYFetCulY6nFszh48bx96aaIiIQ6y5+T8rE4ivMlxMLHyxj9PMZMhZUxu8rGzPSXpz6BhiNq6jTIOi/kqsTcZNrRqFr79N3wULEipQxpu5Ha30aFtGOSIbx9RXJFprMBgd4LIGOTWzLwQtLaRNKDnsPGltXXK5Vku9R0NCan0Bg25mZiAmJ3gt8xc9Z5La+pZYsl0WX6+wc98VgquAEAAA==</v>
      </c>
    </row>
    <row r="98" spans="4:6" x14ac:dyDescent="0.3">
      <c r="D98" t="str">
        <v>2025-09-07T00:00:00Z</v>
      </c>
      <c r="E98" t="str">
        <v>BANXICO_M_BONOS_OTR</v>
      </c>
      <c r="F98" t="str">
        <v>H4sIAOW5B2kC/0WQOZIDMQwD/6JYNcULPPw11/59wUmsECQBqL9Hz6ee+b0MxD1mKzfMWidVw7v6nsb59CMq1jZZGPF7NHtVhezritEQvcfNX10RLeUdxhvuO3R19xCrSke65tyDntVtCrueXGDGPVmvT3pa2GhaJs/uKX3bVE2XIFXCmXAPj7Z8WnmiGN9loI9KMWAej2CqOCSmk0aq0zuAi9Is6GZstT8b7MBAMSZ4FRhwUEIrFaLIHs9KNOAbUprvRIkI1sEQJUci9TVTXSBVTjrMxSxssuXEnukZhDmZVCdvyIBuVg/tuQuPbjVf6GLBCpFsHdXhaHbz+PsHkyYwR9IBAAA=</v>
      </c>
    </row>
    <row r="99" spans="4:6" x14ac:dyDescent="0.3">
      <c r="D99" t="str">
        <v>2025-09-08T04:15:30Z</v>
      </c>
      <c r="E99" t="str">
        <v>POLYGON_UST_CMT_ZERO_CURVE</v>
      </c>
      <c r="F99" t="str">
        <v>H4sIAAe6B2kC/02NSQ7DMAwD/6KzUZCSteVrRf5eww7Q8MLDYMivGOTCB1MD/3jHkOYhfAHo9CEWvpFFMnxWOR3ZPSSfOfOspinhTK8cwtJHqtRE1LSiRljsvaM5qL1eGoU+2urNSKhOy2an9ZLvH/9ymte8AAAA</v>
      </c>
    </row>
    <row r="100" spans="4:6" x14ac:dyDescent="0.3">
      <c r="D100" t="str">
        <v>2025-09-09T00:00:00Z</v>
      </c>
      <c r="E100" t="str">
        <v>BANXICO_M_BONOS_OTR</v>
      </c>
      <c r="F100" t="str">
        <v>H4sIAOW5B2kC/zWQWw7lSAxC91LfUeQnxndrrd77UBl1fiIdY1Pw5/j5zTu1/z7S8zmRF8PM3BbbMUg+h/gf92C6gpWbeI7PfJzal1hLC9/nZNTlXAc2l5EcybP6M80gPCO20zb6ObI5P74JeXYzjB4jW+DjhkXuZMnbXHj7YlisLN08qyKes/bxjgRRFhVTlF6K7w6dsys07XYX3FPB9rXQQ9YN9JJCA2TeAb0DEY6umb6JUTeyfm+pHQ1izO6poZ0fEPv6qKfcShpuo/dUC73MwLhNs6HUQZd7+dqbnkMYoZzKp3efn5P2DlqoLMmOLwnl795qK73Vdmdh8Pc/YP+JjtEBAAA=</v>
      </c>
    </row>
    <row r="101" spans="4:6" x14ac:dyDescent="0.3">
      <c r="D101" t="str">
        <v>2025-09-09T04:15:30Z</v>
      </c>
      <c r="E101" t="str">
        <v>POLYGON_UST_CMT_ZERO_CURVE</v>
      </c>
      <c r="F101" t="str">
        <v>H4sIAAe6B2kC/02NSQ4CMRAD/5JzhNru9GK+hvg7YTJC+Giryq/hNp72sMWwX8CaQzgD7C9cMYdnXJMXuOTdpswqzlG3zdNRgqyZrK8NzRvatYdTCkjEpTtUWESTyH1DKDdlOhuAWDKxCrvq9wc8rypSuQAAAA==</v>
      </c>
    </row>
    <row r="102" spans="4:6" x14ac:dyDescent="0.3">
      <c r="D102" t="str">
        <v>2025-09-10T00:00:00Z</v>
      </c>
      <c r="E102" t="str">
        <v>BANXICO_M_BONOS_OTR</v>
      </c>
      <c r="F102" t="str">
        <v>H4sIAOW5B2kC/z2QS44YQQhD71LrVgubj2GuFuXuoXqkVO2w9bD5c3B+9Kb9f4D4HPYdR5lVoEcs5DxnPnf4zGjawyOZz4Him6spNkqlAFZYx4dvrtNzHJPWO9fHv8bqNA95XFCMzk+/RrOeAugI+HNqPk5nqBKUuTz1HJldvytnjLHL9z+nlb92ZQcxaOuLgXVe/6azIjXSkpcD77rCJNRj082w2sIo283z+oAdcRtyTbdy2hWW1BB6AR0XRSCuoPExhLAH7VgU/Rc1A5s9nsONtaWpuxz2jkV1+2S1uKhiLIp8PYqgkaxwu3kNuZdKfzeVcjMote3//gOoYhQy0AEAAA==</v>
      </c>
    </row>
    <row r="103" spans="4:6" x14ac:dyDescent="0.3">
      <c r="D103" t="str">
        <v>2025-09-10T04:15:30Z</v>
      </c>
      <c r="E103" t="str">
        <v>POLYGON_UST_CMT_ZERO_CURVE</v>
      </c>
      <c r="F103" t="str">
        <v>H4sIAAe6B2kC/02OQQ7EMAgD/5JztAKDCd6vrfr3jdoc6qMHRv6NsPG1jyWgV2IO+QOsX32tOaJ4kyjBN/fd92LOsY4sKuAEupKpZZzDG+erRae3p+0L9e07GyQgKCyojL2Nbnqgu0G5dWSmCrz+XuJok7sAAAA=</v>
      </c>
    </row>
    <row r="104" spans="4:6" x14ac:dyDescent="0.3">
      <c r="D104" t="str">
        <v>2025-09-11T04:15:30Z</v>
      </c>
      <c r="E104" t="str">
        <v>POLYGON_UST_CMT_ZERO_CURVE</v>
      </c>
      <c r="F104" t="str">
        <v>H4sIAAe6B2kC/02OSQoDMRAD/+KzCVIvcne+FubvMTOGREcVJfQZjvHGC2GGX4Sco/kQrP6P5nDljVxioiyqgbTYaJ09F7n7WIyUy+dg2bGqhfZGBc2Z99550eG+trMLUhsR/TCinPQlU1hX8voC7qgmY7wAAAA=</v>
      </c>
    </row>
    <row r="105" spans="4:6" x14ac:dyDescent="0.3">
      <c r="D105" t="str">
        <v>2025-09-12T04:15:30Z</v>
      </c>
      <c r="E105" t="str">
        <v>POLYGON_UST_CMT_ZERO_CURVE</v>
      </c>
      <c r="F105" t="str">
        <v>H4sIAAe6B2kC/02MSQoDQQwD/+JzEyTvztfC/D3N9ECik6BU+ohB3njB1eYXjSXDA1Dzn1xiGTeyHKUFgC7triX1vO2FJTf0VuXYErY+0rgptQZeStp9d6wAxxvcSjnDt4U5bBcrzwgjigpeX1cly2S6AAAA</v>
      </c>
    </row>
    <row r="106" spans="4:6" x14ac:dyDescent="0.3">
      <c r="D106" t="str">
        <v>2025-09-15T04:15:30Z</v>
      </c>
      <c r="E106" t="str">
        <v>POLYGON_UST_CMT_ZERO_CURVE</v>
      </c>
      <c r="F106" t="str">
        <v>H4sIAAe6B2kC/0WNWwrDQAwD77LfS5Ffsp2rld69JhuIfgfNfJdhXfjAVfGOiL1aDkH0uxxgjJsYUzJL0IXKSu6Vj85oGm4pCHhV+l5S+txams1JQhI8wnOLSauDNkIWbNjYDxSUkdXW4+5y/f0Bh5nMr70AAAA=</v>
      </c>
    </row>
    <row r="107" spans="4:6" x14ac:dyDescent="0.3">
      <c r="D107" t="str">
        <v>2025-09-16T04:15:30Z</v>
      </c>
      <c r="E107" t="str">
        <v>POLYGON_UST_CMT_ZERO_CURVE</v>
      </c>
      <c r="F107" t="str">
        <v>H4sIAAe6B2kC/02OSw5CQQgE78J6YppfM3g1493l+SZRWLDorgovccgTD4T23xiXtN7B7G+8lzjzm8zVMDfUNhI9TB2bEygyoFWmxlii2w62m5nguFJ5USM6T3S7jclzjFE6FPrOFHXVMzRr+qz3B1j/61K7AAAA</v>
      </c>
    </row>
    <row r="108" spans="4:6" x14ac:dyDescent="0.3">
      <c r="D108" t="str">
        <v>2025-09-17T04:15:30Z</v>
      </c>
      <c r="E108" t="str">
        <v>POLYGON_UST_CMT_ZERO_CURVE</v>
      </c>
      <c r="F108" t="str">
        <v>H4sIAAe6B2kC/02OSQ4CQQwD/5JzC9nZw9cQf6eZHiF8LZfllxjkiQechV+os2R4ABR/xJdYxkUsjSjo+FTnkrqnLMmO0Irg7losYevtjO2+OwZbBK+1owVU9Xuj0I3obWEOI1qtcjATW+58fwCumiR6uAAAAA==</v>
      </c>
    </row>
    <row r="109" spans="4:6" x14ac:dyDescent="0.3">
      <c r="D109" t="str">
        <v>2025-09-18T04:15:30Z</v>
      </c>
      <c r="E109" t="str">
        <v>POLYGON_UST_CMT_ZERO_CURVE</v>
      </c>
      <c r="F109" t="str">
        <v>H4sIAAe6B2kC/02MOQ7DQAzE/rL1IhgdI43ytcB/j2G7MFuC/K3A+uKDtHnhtdfYLeAvIeNeUbxUVJpnEd5savbq5xZVdLWnSgF47mXypzr31gUTh4G8fndGTLuqIjli91lhbmdmYGoc3e0jHX9fSaLUuwAAAA==</v>
      </c>
    </row>
    <row r="110" spans="4:6" x14ac:dyDescent="0.3">
      <c r="D110" t="str">
        <v>2025-09-19T04:15:30Z</v>
      </c>
      <c r="E110" t="str">
        <v>POLYGON_UST_CMT_ZERO_CURVE</v>
      </c>
      <c r="F110" t="str">
        <v>H4sIAAe6B2kC/02MyQ3DQAzEetn3ItCM7rQWuPcIXj+slzAE+Vsq6ysfMVS/zvZqHCB87QXfS8NvpKEQ7VLOZ4W98qlphFvAvKBMTg1Ff3pi1tXB8GbctSM5RklkzuxWOpL0YQDNu9OTMmHl9Qd8O7umuQAAAA==</v>
      </c>
    </row>
    <row r="111" spans="4:6" x14ac:dyDescent="0.3">
      <c r="D111" t="str">
        <v>2025-09-22T04:15:30Z</v>
      </c>
      <c r="E111" t="str">
        <v>POLYGON_UST_CMT_ZERO_CURVE</v>
      </c>
      <c r="F111" t="str">
        <v>H4sIAAe6B2kC/02MSQoDMRDE/uKzCVVdvTlfC/P3mHgYoquQPkMYb7zgLDzQ1hyLP6H1T2+hjGPSKTWjrFCec9Q9U6GtOhSLTGoOtp3I97AiLTxg1NmdKvYpQwSLYiN2hnUkKa9EtKVtJ15f7IhVHboAAAA=</v>
      </c>
    </row>
    <row r="112" spans="4:6" x14ac:dyDescent="0.3">
      <c r="D112" t="str">
        <v>2025-09-23T04:15:30Z</v>
      </c>
      <c r="E112" t="str">
        <v>POLYGON_UST_CMT_ZERO_CURVE</v>
      </c>
      <c r="F112" t="str">
        <v>H4sIAAe6B2kC/02NSQ4CQQwD/5JzC8VxVr6G+Ds900jgY8rlvIQqT32oI+YXyyWDG3D+07OEGYekg2xEWWn5Vuo7xjRzUtOmuxNL0HYkV43rVEHuTt5zxwqA2cMxgzcuS+cwAGH7F417oL3eH+E0Q065AAAA</v>
      </c>
    </row>
    <row r="113" spans="4:6" x14ac:dyDescent="0.3">
      <c r="D113" t="str">
        <v>2025-09-24T04:15:30Z</v>
      </c>
      <c r="E113" t="str">
        <v>POLYGON_UST_CMT_ZERO_CURVE</v>
      </c>
      <c r="F113" t="str">
        <v>H4sIAAe6B2kC/03MQQ4CMQxD0bt0PUJx0tgJV0PcnTJlNHj75P8aYeNpD5sou0fMYzS2mP/JF4J5SpBge5Z3sLPzGPrlFs3OmWg6ONcJ5Xn1SnIaGAGeuX1KiOo0q1KIWCfrbYCLJbjTk4p+fwC7Ri2RugAAAA==</v>
      </c>
    </row>
    <row r="114" spans="4:6" x14ac:dyDescent="0.3">
      <c r="D114" t="str">
        <v>2025-09-25T04:15:30Z</v>
      </c>
      <c r="E114" t="str">
        <v>POLYGON_UST_CMT_ZERO_CURVE</v>
      </c>
      <c r="F114" t="str">
        <v>H4sIAAe6B2kC/0WMyQ3DQAwDe9F7EVCizrQWuPcsvAZM/TTk/ISQLz5w47yxWDJ6wL43nCXMuAlLLRtNMPbPl9QjY3EMMeQ0m7lE2+LRdWkh3XfDuv32nVkY1DQGBnZl7RnmMFWt7sw9oaebXn+9QXkbugAAAA==</v>
      </c>
    </row>
    <row r="115" spans="4:6" x14ac:dyDescent="0.3">
      <c r="D115" t="str">
        <v>2025-09-26T04:15:30Z</v>
      </c>
      <c r="E115" t="str">
        <v>POLYGON_UST_CMT_ZERO_CURVE</v>
      </c>
      <c r="F115" t="str">
        <v>H4sIAAe6B2kC/03MQQ7DMAhE0bt4bVXAwAC9WpW7F8WRWjYsPrzPgqy3vMTN5DeU2Kv1FPkv6nuBcRekWEDZ7QIhuVc+HNKKKVlRZrOH07J4wO4GKwhwzuIWz18YUMSA2q7R8yZ9mqrlWJ6tQ1Xx+gL03M5KvQAAAA==</v>
      </c>
    </row>
    <row r="116" spans="4:6" x14ac:dyDescent="0.3">
      <c r="D116" t="str">
        <v>2025-09-29T04:15:30Z</v>
      </c>
      <c r="E116" t="str">
        <v>POLYGON_UST_CMT_ZERO_CURVE</v>
      </c>
      <c r="F116" t="str">
        <v>H4sIAAe6B2kC/0WMSwrDQAxD7zLrodjyV71ayd1rMoHIG6OH3m+ZrK98xAF5kxJ7UQ+Ze2PcyzJuYtkQb7IaqY296rFZYWpLl4JKzWZwPLoKZxqlDUbcurMKDWQp0jwB+qyEh83TqoVidLNUrz+XKBlWugAAAA==</v>
      </c>
    </row>
    <row r="117" spans="4:6" x14ac:dyDescent="0.3">
      <c r="D117" t="str">
        <v>2025-09-30T04:15:30Z</v>
      </c>
      <c r="E117" t="str">
        <v>POLYGON_UST_CMT_ZERO_CURVE</v>
      </c>
      <c r="F117" t="str">
        <v>H4sIAAe6B2kC/02NQQoDMQwD/5JzKJIdW3a/VvbvDZuFVkcNGn2GY7zxwmL/xXKO5gEw/MI1h2fcxEXTcoaYucs59Mg8O00Zjm6CW8ayeHRKF5al15Li1p1VUECBBWxqvVfow0iUGtmVzv3I6wu3LQKyuQAAAA==</v>
      </c>
    </row>
    <row r="118" spans="4:6" x14ac:dyDescent="0.3">
      <c r="D118" t="str">
        <v>2025-10-01T00:00:00Z</v>
      </c>
      <c r="E118" t="str">
        <v>BANXICO_M_BONOS_OTR</v>
      </c>
      <c r="F118" t="str">
        <v>H4sIAOW5B2kC/0VQSY4EIQz7C2eEsjlLfa3Vfx9Tc2iONvH2WboelSO/p0jfy2o9c6arLEPVpSKw18iFGy0lFt1wzF7aeuEKeEM8ekak9vKwf5VBWFiplzfFPf3FzZBRqgC6Yy/A3jQT4ommSCOctik3ZradYRSFpEWFkWi8F1pMbnQIpVvvVZLroSnFJLQZTe3iKiBh7TgUCuZhM6ESszUJLTtVwgSEE0oCes2n9cBU2gYmgyRTV4vWOFQV9miPibiD9JBBk+FS/NE1zqXMkguqW5xWDzeRUTOeOP9wlJojk6OctLkVCYa4VTAnJp0NA5X5Vgmb26V4oikobjKh+f0DbXvz69YBAAA=</v>
      </c>
    </row>
    <row r="119" spans="4:6" x14ac:dyDescent="0.3">
      <c r="D119" t="str">
        <v>2025-10-01T04:15:30Z</v>
      </c>
      <c r="E119" t="str">
        <v>POLYGON_UST_CMT_ZERO_CURVE</v>
      </c>
      <c r="F119" t="str">
        <v>H4sIAAe6B2kC/0WMyQ3DMAwEe+FbCLi8VkxrgXuPbMXO8sFjwPmIq7z1pQHqE1gPaWyg2v8kh3jlRVbHWYYI0mIIfzKv8Jqd0RURakMwLW9dKhOuk4yyunz7LbHOvTYWvP00QntDrAnVZsnsGczjC2ZAeZa7AAAA</v>
      </c>
    </row>
    <row r="120" spans="4:6" x14ac:dyDescent="0.3">
      <c r="D120" t="str">
        <v>2025-10-02T00:00:00Z</v>
      </c>
      <c r="E120" t="str">
        <v>BANXICO_M_BONOS_OTR</v>
      </c>
      <c r="F120" t="str">
        <v>H4sIAOW5B2kC/z1RSW7EMAz7i8+BIZHaPF8r5u+lU6A5+CCJa36Wr8/Zcf6/wcyzEO843VFkk2WIZ02/4y6Mn/FBNPpZ3nPn7EPrHANIfxb9JQcyWDHECQ40L3tpzCtO6r5hFHtC924CDDsqpw3lclOdf4ukVaSdLEH5rPaXKTN0517H3SSs9wjgmwVKpVFFT9yN1/pkYx9ySpYqym4EhrJFx64xb7GNmTDazCVj8tbRLGmbvZAJtcSo3UFLHqTk3kXOXcR2GtPKlTzkC4CoMLUnEVMKc0bdqBKD5CHLMkyEKtCtEqo3ZT+z8+SUEJcsry3jkUq5fp7qk6kaqp7vL2qGgqrTAQAA</v>
      </c>
    </row>
    <row r="121" spans="4:6" x14ac:dyDescent="0.3">
      <c r="D121" t="str">
        <v>2025-10-02T04:15:30Z</v>
      </c>
      <c r="E121" t="str">
        <v>POLYGON_UST_CMT_ZERO_CURVE</v>
      </c>
      <c r="F121" t="str">
        <v>H4sIAAe6B2kC/02NSw7DQAhD7zLrqLKBAdyrVb17aRKp9Qak589rOdYTD4SZ/uTHEi8Aw0+MY3nuk8xldESbj+dL6i7zDM8K0NFpA9h2ZyQbv28k201n2xXaaKKspQKZNSnoYvMEtpqzVNOl9wdPoG5NuAAAAA==</v>
      </c>
    </row>
    <row r="122" spans="4:6" x14ac:dyDescent="0.3">
      <c r="D122" t="str">
        <v>2025-10-03T00:00:00Z</v>
      </c>
      <c r="E122" t="str">
        <v>BANXICO_M_BONOS_OTR</v>
      </c>
      <c r="F122" t="str">
        <v>H4sIAOW5B2kC/z2QS24kMQxD71LrhiGK+vbVgtx96BoghhfGkyWS+nnwfPfE/p3xmc/jcbH3phG1ZDnj80xfDEcKRTHStj4Pei630F/2TheC4uRezsZu+NLX9RQve/+3LTLMUtNb42v8lU3Lqcp2CXl+njY+X9jhlmu6O20IcdjLE3Az7wnH5jVko1zAoTEnCuiuebmcgslT4fLaGDdSFWJvB+pkZypEIet/No0ar7O0GIkwNmUWg1JB8ru+kbptfUWGsjUWp2fKh14hh1pq3o6cPDK1ctverFZBe3++sTgmmIOdZLTU1amVu48qaoB1xw7yRmHf9OHH7pquyETw9x9veFXj0wEAAA==</v>
      </c>
    </row>
    <row r="123" spans="4:6" x14ac:dyDescent="0.3">
      <c r="D123" t="str">
        <v>2025-10-03T04:15:30Z</v>
      </c>
      <c r="E123" t="str">
        <v>POLYGON_UST_CMT_ZERO_CURVE</v>
      </c>
      <c r="F123" t="str">
        <v>H4sIAAe6B2kC/03NyQ3DQAxD0V7mbASkdqW1wL1H9hhIdH3g12cp1hsvmGj/TvxYzQ2QPyiOaPhNGslKuDGVncfKJzbg1o6rKh0zYYk/OZfyMiES1rxre+UU1YA2qMm8VuhtJEgNcQ7YvDy/Yl4gpbkAAAA=</v>
      </c>
    </row>
    <row r="124" spans="4:6" x14ac:dyDescent="0.3">
      <c r="D124" t="str">
        <v>2025-10-04T00:00:00Z</v>
      </c>
      <c r="E124" t="str">
        <v>BANXICO_M_BONOS_OTR</v>
      </c>
      <c r="F124" t="str">
        <v>H4sIAOW5B2kC/0VRWW7FQAi7S76jCLPY8K5W9e5l0kqdT4w35uvC9ZnH/l+Y8b68r08/Y2COYNFk3dfgTGXD8qhOK/MdQ3XmFZkWwqhLxH1F2RF3qMVJg6dbnDnf/Vm7XB1WwOe+qDn7SjGkQJbK+75k+vOdDTMwrM7qyzcP7IE1hFBilugbyEpHCR6sEtqUsUKA8WWQhvUex7jrIN7bGHiA2fSzJtMjnXJdvxyrHHKTTgMHmHkpKmNEhXl4Y/utH1+kazRZC23q08TzFYsHlJNCkXuUtfHhCeBPerv2fFpq934F01fNub+RzA29YMnemhEbQXzkZUHQ1yvq+wcG+C1m1gEAAA==</v>
      </c>
    </row>
    <row r="125" spans="4:6" x14ac:dyDescent="0.3">
      <c r="D125" t="str">
        <v>2025-10-06T00:00:00Z</v>
      </c>
      <c r="E125" t="str">
        <v>BANXICO_M_BONOS_OTR</v>
      </c>
      <c r="F125" t="str">
        <v>H4sIAOW5B2kC/0WQS44EMQhD75J1qYTNv6/WmrsPZNNZGsd+8D04n3qtfy/1OdRVJaMo1g6Mgc+pWBkp4d6K8kzz54xw7ezs8PEW1UdX5+oKEbESQToNzwnU6uOdshbMnDFyDUu/VCs3zzKWRT0n5ca4EhIjGcZhz+m+OLLQ2lrtSzA4Yr5BVVBOkKsHOEEg83wgL5ueTFZaqthuQNsvgSHy8Ggge3Wt+6Ns2kNVUKnKnWzJTKa1ytA1gbpr0DYLHDAIM4KaGdvClu3XF3O/MNF7YAxZaEwa883O7IZNfIXeZZiDYDnnGi9tmT3x9w+jJb6OugEAAA==</v>
      </c>
    </row>
    <row r="126" spans="4:6" x14ac:dyDescent="0.3">
      <c r="D126" t="str">
        <v>2025-10-06T04:15:30Z</v>
      </c>
      <c r="E126" t="str">
        <v>POLYGON_UST_CMT_ZERO_CURVE</v>
      </c>
      <c r="F126" t="str">
        <v>H4sIAAe6B2kC/03MWwoDQQhE0b343YSyfLRma2H2HpkeSPTzUucjBnnjBSfxu0QsaT0F/0V9iWXcxbJpRKvNh/aS/WhTMrl71ERWjabFeLyqYlfAzbbz9s4sCDrDK1W7c0bok1TpiNZyxwajri+WGpO4ugAAAA==</v>
      </c>
    </row>
    <row r="127" spans="4:6" x14ac:dyDescent="0.3">
      <c r="D127" t="str">
        <v>2025-10-07T00:00:00Z</v>
      </c>
      <c r="E127" t="str">
        <v>BANXICO_M_BONOS_OTR</v>
      </c>
      <c r="F127" t="str">
        <v>H4sIAOW5B2kC/0WQS25FMQhD93LHTxHmY6Bbq7r3OleqGmVko2PD94Pnq8/+P2bl5/H5k9NIMK13Ps9qeo7B9BNda8XPg/ErA1KCsKrZ9c8T/uo23RtTQ1RB8Ci7eriVScpsbGi+Zq7eHQ2wdwsRSmW/HIbqdFkXkVBuI9/5FBlCGWu61JK87Wm+LcfDsi3U01oBeyLIbNIzzLNlYPsaZSIxQNqMQQY3r+Ht0idGEZuKQJtQsOPTSjV3Yt+l0ajnq6LqDHPN1pWhLTwuSxCeMZHC1xN7b91KD6wfcnQn13qqywiRkLlnVbTbsgI3Qq3vpZZHenkPJnT9n1+TARl5zgEAAA==</v>
      </c>
    </row>
    <row r="128" spans="4:6" x14ac:dyDescent="0.3">
      <c r="D128" t="str">
        <v>2025-10-07T04:15:30Z</v>
      </c>
      <c r="E128" t="str">
        <v>POLYGON_UST_CMT_ZERO_CURVE</v>
      </c>
      <c r="F128" t="str">
        <v>H4sIAAe6B2kC/02OOQ7EMBDD/uLaWEhzT762yN9j2CnClhCh/1CMCz8Y+4PEHM0jgI/wnEPDt9EooTEBq3b4HPnGNMJCWIHoKupSLPG3Z6hSa8kSy7YdPDvfuTBZBxyUNUMfx0WXqJKaVLsfI7AsUboAAAA=</v>
      </c>
    </row>
    <row r="129" spans="4:6" x14ac:dyDescent="0.3">
      <c r="D129" t="str">
        <v>2025-10-08T04:15:30Z</v>
      </c>
      <c r="E129" t="str">
        <v>POLYGON_UST_CMT_ZERO_CURVE</v>
      </c>
      <c r="F129" t="str">
        <v>H4sIAAe6B2kC/03NSQ7DMAxD0bt4bRSkZGro1YrcvUacRbT90ONvOMYXHyz26yzmaJ4AvIJyDg/dxaPNxYaDxCrNkY/mkWImrMMXag6W6eFkiQ6ZkVVxc+dJNDdZy1mk1vaIPnEPJKTy1Ruk6voDV1APDboAAAA=</v>
      </c>
    </row>
    <row r="130" spans="4:6" x14ac:dyDescent="0.3">
      <c r="D130" t="str">
        <v>2025-10-09T00:00:00Z</v>
      </c>
      <c r="E130" t="str">
        <v>BANXICO_M_BONOS_OTR</v>
      </c>
      <c r="F130" t="str">
        <v>H4sIAOW5B2kC/zVRSY4gMQj7S86liNVAf63Vfx8TaSo3A97q9+j5qVsx/79u9e+YLZwpinKtDFQR7lwYMg1M2rinzne08PAUkVLLNMd33HzRhtsELOAhsnjE0xTN0CleRLt9J40sfT1sxFKAtEZ/B3i4WGRbRqjXVBCfWDy7p4UcNKQg/8jDA5pYg2X2TDLL4k33kY7KUVXqqjpjzaUfjXLrEljtgM53UAyszbvskK1BEdgBepTrEWBL2B5q3sGEtxWXR4TS5kukciPZTqkEF40K1kpp1Wvk8B5HC+MUw1mxPbMtG3Tm2GcvRlM8/eYIf1C1RGd7/v0DHSbrEMwBAAA=</v>
      </c>
    </row>
    <row r="131" spans="4:6" x14ac:dyDescent="0.3">
      <c r="D131" t="str">
        <v>2025-10-09T04:15:30Z</v>
      </c>
      <c r="E131" t="str">
        <v>POLYGON_UST_CMT_ZERO_CURVE</v>
      </c>
      <c r="F131" t="str">
        <v>H4sIAAe6B2kC/02NyQ3DQAwDe9n3IhBFnWktSO9RvH6Y0G841GdR1lteYuhHNPZqHCD6AAXfi+EXYrRqTduclayR8p4bFAFF/CVr2F4o9XsxwzUdXSSrr8GjORgTUboFrOYZpA8ExJlanAOy8/sDzlvNw70AAAA=</v>
      </c>
    </row>
    <row r="132" spans="4:6" x14ac:dyDescent="0.3">
      <c r="D132" t="str">
        <v>2025-10-10T00:00:00Z</v>
      </c>
      <c r="E132" t="str">
        <v>BANXICO_M_BONOS_OTR</v>
      </c>
      <c r="F132" t="str">
        <v>H4sIAOW5B2kC/z2QS47EQAhD75J1FJX5GOirjebuY9LSZJGFyxjzfi5cn3ry/H9A2X1ZrRxBjhkNWU7e15xXdgtGHp+KgNwof/X0nqTlsMm8Lw9709PdrBmVTgvp9cYzjaQefDC7NYbXpx+VSER0shHW96US6+8DanVnYubk6rN+r2g3B1NxkL8r1l89sx390AylAZyOnSgVylXDYSXdO1cfXaW2GovDVBJ4tHoe+ZnQT73G9+KY1WU71YZw12niBvjqu1pH0Mo6tpL5N2haJG0KBdaX9K7GeRpi1GIiQagFSklmz+Isq8wW1uIegRSntCc4wTO9DDG/f0jyVUDNAQAA</v>
      </c>
    </row>
    <row r="133" spans="4:6" x14ac:dyDescent="0.3">
      <c r="D133" t="str">
        <v>2025-10-10T04:15:30Z</v>
      </c>
      <c r="E133" t="str">
        <v>POLYGON_UST_CMT_ZERO_CURVE</v>
      </c>
      <c r="F133" t="str">
        <v>H4sIAAe6B2kC/02OSQ4CQQwD/5JzC9nZw9fQ/J2GHgl8LbvklxjkiQecPX/xJcMDoPiFG1jGl1gaUdDxqc4ldassyY7QiuDuWixh672ZnBhVhY93+9GdXWx9qqaGVfODiDmMyCi0Wu5v4OT1BpFCoFK5AAAA</v>
      </c>
    </row>
    <row r="134" spans="4:6" x14ac:dyDescent="0.3">
      <c r="D134" t="str">
        <v>2025-10-14T04:15:30Z</v>
      </c>
      <c r="E134" t="str">
        <v>POLYGON_UST_CMT_ZERO_CURVE</v>
      </c>
      <c r="F134" t="str">
        <v>H4sIAAe6B2kC/02OSQoDQQwD/+JzEyTvztfC/D3NTEOia6GSPmKQN15w9vzFlwwfAMUv3MAybmJJZHSN5hQ4S+rILHLMQ1WrMpVL2HpKQ5ANmicj5tadC1Np7e3hpVm7hHnQ3jFzBKH7m/H6Apv8c023AAAA</v>
      </c>
    </row>
    <row r="135" spans="4:6" x14ac:dyDescent="0.3">
      <c r="D135" t="str">
        <v>2025-10-15T04:15:30Z</v>
      </c>
      <c r="E135" t="str">
        <v>POLYGON_UST_CMT_ZERO_CURVE</v>
      </c>
      <c r="F135" t="str">
        <v>H4sIAAe6B2kC/03MsQ0DMQxD0V1cGwFFmZSV1YLsnuB8xbF94P+MxHjjhRX9GD1HxwHwATs0R1oXpVdwWWCptHuOumupBrOLTqUdc8TmfeqlKvuf6qBO7rwErLJUZPPqBfpYoGKbVmwUgfz+ANfyW1q6AAAA</v>
      </c>
    </row>
    <row r="136" spans="4:6" x14ac:dyDescent="0.3">
      <c r="D136" t="str">
        <v>2025-10-16T04:15:30Z</v>
      </c>
      <c r="E136" t="str">
        <v>POLYGON_UST_CMT_ZERO_CURVE</v>
      </c>
      <c r="F136" t="str">
        <v>H4sIAAe6B2kC/02OSQ4CQQwD/9LnFoqzOnwN8XfCTEvgQy4Vl/xaJuspD3H0XzT3atxAVH6B72UZF7HIphtddX6yY686NvMOgFTL6dSUQD0tBprlzMog6/KdDY2eY+khUP2OgPQNIZ4jU6ONISPeHwSiO+q7AAAA</v>
      </c>
    </row>
    <row r="137" spans="4:6" x14ac:dyDescent="0.3">
      <c r="D137" t="str">
        <v>2025-10-17T04:15:30Z</v>
      </c>
      <c r="E137" t="str">
        <v>POLYGON_UST_CMT_ZERO_CURVE</v>
      </c>
      <c r="F137" t="str">
        <v>H4sIAAe6B2kC/02OSw7EMAxC75J1NIIS/3q1Ue8+VhtpysryA8R3COPEB4uJv5xrjuJNVG9lzSG3h1hBxNHHEizmiN3WjxQY0VZP6wzz2KGsTNDKqGDlXbc3lDMl0rL70BOIehhhkoWWm/XQ5dcP884PPboAAAA=</v>
      </c>
    </row>
    <row r="138" spans="4:6" x14ac:dyDescent="0.3">
      <c r="D138" t="str">
        <v>2025-10-20T04:15:30Z</v>
      </c>
      <c r="E138" t="str">
        <v>POLYGON_UST_CMT_ZERO_CURVE</v>
      </c>
      <c r="F138" t="str">
        <v>H4sIAAe6B2kC/02OOQ7DQAwD/7K1EZCSqCNfC/z3LGwXZjuYAX/Lsb74IBjzWhxreAGffIM8lqduogYni8p0dm6nnporWpRgJY3Zsdj2WN1bKRqi2wVdwefEOEyFwVDVO0jMzYgIRdQGYkbZ+Qf6bWN9uwAAAA==</v>
      </c>
    </row>
    <row r="139" spans="4:6" x14ac:dyDescent="0.3">
      <c r="D139" t="str">
        <v>2025-10-21T04:15:30Z</v>
      </c>
      <c r="E139" t="str">
        <v>POLYGON_UST_CMT_ZERO_CURVE</v>
      </c>
      <c r="F139" t="str">
        <v>H4sIAAe6B2kC/0XOyw3EQAgD0F7mHK0wHwNpbZXeg5KR4usTxv9lsk75iQP9RfNYjQesKV+0jmWMV6LFTZihTvWR3GUWloxOwCqyRlC6j4rKkEgiJulP397Q80CILAHIIUi/BrFZUhbOVA+t6wYu1+8MugAAAA==</v>
      </c>
    </row>
    <row r="140" spans="4:6" x14ac:dyDescent="0.3">
      <c r="D140" t="str">
        <v>2025-10-22T04:15:30Z</v>
      </c>
      <c r="E140" t="str">
        <v>POLYGON_UST_CMT_ZERO_CURVE</v>
      </c>
      <c r="F140" t="str">
        <v>H4sIAAe6B2kC/02OQQ4CMQwD/9JzhRKncRy+hvg7ZbcS+DqakV8jbDztYcut/5ZztF8gmvYbNEcwb5IygLWqLeXYTp1aZJRQyZYYxTlcOJaIgowyc6y8eueDFMoFJ5glbrZf3dAN2d/WtoLt/f4AQPNAfbsAAAA=</v>
      </c>
    </row>
    <row r="141" spans="4:6" x14ac:dyDescent="0.3">
      <c r="D141" t="str">
        <v>2025-10-23T04:15:30Z</v>
      </c>
      <c r="E141" t="str">
        <v>POLYGON_UST_CMT_ZERO_CURVE</v>
      </c>
      <c r="F141" t="str">
        <v>H4sIAAe6B2kC/02OSwoDQQgF79LrJjyf/1wtzN0jMw2JLssq/CzFeuMFE+nfMPdquYG2/YGUvTT8IUFBRs2Kq42SJ6YezSLNJBEWe0nxSE2y3CfCDt6180EboRQL5LjqY6EfKDAWci7CzVB6fQEzYnCZuQAAAA==</v>
      </c>
    </row>
    <row r="142" spans="4:6" x14ac:dyDescent="0.3">
      <c r="D142" t="str">
        <v>2025-10-24T04:15:30Z</v>
      </c>
      <c r="E142" t="str">
        <v>POLYGON_UST_CMT_ZERO_CURVE</v>
      </c>
      <c r="F142" t="str">
        <v>H4sIAAe6B2kC/02OSQ7DMAwD/+JzUEiiqCVfK/L32omBhhceBkPwOyDjlI+4Sr/CY7TeAA35B5wEwQfFlKC+Gi5+jNxrYLSXSTKUYTElLdtWmyGLWhr0zHtvn2gWC4JaH3JZ0g9T8bTWzECpm/P6AQW09wu7AAAA</v>
      </c>
    </row>
    <row r="143" spans="4:6" x14ac:dyDescent="0.3">
      <c r="D143" t="str">
        <v>2025-10-27T04:15:30Z</v>
      </c>
      <c r="E143" t="str">
        <v>POLYGON_UST_CMT_ZERO_CURVE</v>
      </c>
      <c r="F143" t="str">
        <v>H4sIAAe6B2kC/0WOSw7CUAwD7/LWFUrs/MzVEHfn0VbgXTLKxK9FW097WJjsF+ex5OeeM/pn6lisvEjBkXKNJ8ozjtW3jFliM2bY1eMb+eA+E0C0hJjIsTiNdwkFrL5SGIP7mZsu5sbGnryZwxHeH7H2jUm7AAAA</v>
      </c>
    </row>
    <row r="144" spans="4:6" x14ac:dyDescent="0.3">
      <c r="D144" t="str">
        <v>2025-10-28T04:15:30Z</v>
      </c>
      <c r="E144" t="str">
        <v>POLYGON_UST_CMT_ZERO_CURVE</v>
      </c>
      <c r="F144" t="str">
        <v>H4sIAAe6B2kC/02OyQ3DQAwDe9F7EYg6qbQWpPds7H2YTw444Edc5a0vDa15pJYMLuDko+cGXnmTMlgOhkgrZCzpY/NMVhUzsklGLwHtzAYadKjvWPUlPCc26gCQKI3aQujcDGp/G8In2sL4/QGv8SQ5uwAAAA==</v>
      </c>
    </row>
    <row r="145" spans="4:6" x14ac:dyDescent="0.3">
      <c r="D145" t="str">
        <v>2025-10-29T04:15:30Z</v>
      </c>
      <c r="E145" t="str">
        <v>POLYGON_UST_CMT_ZERO_CURVE</v>
      </c>
      <c r="F145" t="str">
        <v>H4sIAAe6B2kC/03NUQ6CMQgD4LvseTGFwihezfx3dzqN9rFfKI9BjDtuCHj/Zc3R9gY28Qsz5+DKQ0VGwuGGkscc9VnjUm6zUviScZPJ8/upcteUq1U6g+cuEe7R2l+R4ssMfdAQvZq1C1WHresJllyIK70AAAA=</v>
      </c>
    </row>
    <row r="146" spans="4:6" x14ac:dyDescent="0.3">
      <c r="D146" t="str">
        <v>2025-10-30T04:15:30Z</v>
      </c>
      <c r="E146" t="str">
        <v>POLYGON_UST_CMT_ZERO_CURVE</v>
      </c>
      <c r="F146" t="str">
        <v>H4sIAAe6B2kC/0WNyQ0DMQzEevHbCGZ0K60F23uEdQ5+9CDEeS3FeuIBg+MHlXs1b6HN/pNle2n4UalqRXdLpHXslZ+aJqJYY6JMJsYS/+5QHVqEcM5dO0+OGtrVrCKa0yP6SE5vFkY6HZJyvQG7yf+NugAAAA==</v>
      </c>
    </row>
    <row r="147" spans="4:6" x14ac:dyDescent="0.3">
      <c r="D147" t="str">
        <v>2025-10-31T00:00:00Z</v>
      </c>
      <c r="E147" t="str">
        <v>F_TIIE_28_VALMER</v>
      </c>
      <c r="F147" t="str">
        <v>H4sIALO5B2kC/0ydW7Ltqo5E+7K/T1SYN1TXqvOlkSKZ656PG1uey7YwiESP1P/9K//+9/ufb61zzrf2aHOX//7VFO7v69+3Sm+r/fevWVjGWaeN/fX4o//+dcvrnuPUL678929Y2Hbc+JTWQjgt7GucvVft879/y8IR0q/GLeIF9hPuPUu8wl7//TsWzl7rN2Y7/b9/5XvSPeoZX6nr++IWpfjC+uJJtfde9L7labdKvEeNeyNtP+nsc9dWQ+fSfzdpZ6zv7J53fwpOfj1mvH1In4azhYYnhhXpT8Wz40Kd38yb/NTs5es1Rpo3Ob9hqrUX3ic+ydOznYoy8cyQPiXbV+L2YxY+39Ow7LbjA4TmIX0afmvyrL64b38TYMYr9FMlHZbu2uOFy/zi+9Vp6Vyrjy8+BNJl6SinnL5P4x22pa2fNXY8jt8eS8vos7bV+bDt6rb2mTse1wrTzTNzx7Na7fFV4watWjpmzLT27RGv25qlrcU7nbhtDE6zartoGu42eZhVW/EtZonbcANrtuKf6/TKn1uv1casMebty2/frNqKIa+ntcY8blYtVKg9XiSGLhaHVZtjjckaqywZ6zabpn05H7+1bqFZjakcywmpdRsrPlhc4u+tWfxxi/+re9dci1YubhnTpJ3Z44W7teunxPeMVV1C5279OuPQS9Vy7Faux+jWb8anjmHvVq4jOT3WQaxx69b4HPHf4VsM68Z3b6XseI+QWrdWS0yU+BRfPGxYtxjFztNiQENq7cIYlFKY1FsDP6xdDTM14tNVpsSwdvGvGcMck4hbW7t43NljtIPOw9qVUfW4b3Bfa1diCM7XYrrGRJlW7wuNG8ZtxstNqxcD0bBMJ7Sb1i5GNr78bh8TaFq7r/RQpC/N1Xm1m2ELtkxCfLc5LAzLMBk6zOW0sLUhZfWsZSlv0Ev5UGxexXTLmJVzY0bnsXSEdYmPvJCuz9K666hh9BEWC7+wraFs70eDvq5useRnLI74mhNps3TEXWM+rRFrdlm3+HQxYjHbDlIrx0CUEa/3hcrL2s24EEMWUz70WNYu5n6YtDA7Ydf0GlYwTFfMhm9XpsqygqyLecaZLK9tBdmjmHGlxOfY1nCEHQ8zEUMSw7mt3ojvFvMSE62ltK3hKF8YhC8MfzxwW8POkmMnWjFVtjXsTBKJQ5dtDXtvscRi8ejlrGGvMbXjww6W3bZ6sTrb1kyMkdtWry020V3iFWMftHrswVPTNWbLsXqtYQ9KfMP8gMcatoLq8d+I1zhWrx7ercUyiQceqxezpceqjs0xhNaujhlrPz6MdmNrF1acKbDiT0Jq7WKZ71bZqdMyHStYzg6LU+KJMfrHCsbjY+6PmPf58/jovhJbWmxLMfHYjz9rWXpM3lgq8ckQW0dWcIkPvvniYfYtjm26xJbZe0VsLb8dXzEGanXdxHp+DH+tMVL6tRX9Ah3Fe8ST9WtrGnMpTHN89DoQW8+voFGLr/xdjazr98XMwZIOwIEBjLBB/CiWDb82fIkpHbtG2H12tGLsEjt9mMDYlbAIxdhlnJgLYdVm1W+7pfEt4l+xWSZgKwYvzNTSWNdTgOkqGoY83u0bWKti8BImcYS1aX1s/XZbPMNehDkvVW9yLI5pEh8zpiGDYvASH+uL7bIhv1jMaoYk3oMFwe2NYGKCl1h3JcZRv7aiAQpKWOTYgNHUGGbE9vJhc8bciK0migZeiXdkwI1i4qPF7h3QiH26GMWMmJhggphc+rH1DAhaeky3qo9vHBOWJCZmZ7Pn1wYysdPH9F+B1HRvQ5kRe+mOwerCioYysaj49mHdwzAKFhrODIxSGImwECeHy5BmhJ2IR4OtGV9jmtgkAvD1WMwaF6OawZTobN2s8WJgg5qF7S4fak1jvtT42DFv+f6GNSM+RUyAsESg0WJcE/tSjHdMTrC1XtHYJgxbmPXYRUaV2NqGMjHLw6ou3tzoJjboUH4AkL4cBGOcEfYGNcMY6cFWdcSwctg4S7+2qnGEiHNBmJ8h+G5VQT7x5VfhHFIMckYPYSyasH37PtXq9phbFaMRX1F6Ge3E+8cijYV3NCUNd0bg4bDR8Rl5S8OdMDhhhMIQpz0y3hnxiZrQNrtHMeCJHYmVGubn4+UNd+JwEHY4trgP61+Md0aPExcWZmqhGvAE0mngysZ5IN/c2sbn4EQxh6TWlP2jbI5vudMWA58wMesDZh2ZByOf+FKBcOPAsTQAxj4D0BKbT+w9vKXBD0YDUxBL+1ofA6CBJYiNbdRPYmvbApPEB+wfe08xCAqQwrYWS6pfezqfwrE/x3qInUav+bT9SmBCtJbY6rLkwxKEcpzMrCrGJL5KvCY/NhgaNc4Ch4MfB6hiKBTiGguz5amoGAsF6oq7x7Y7tHIMhkbsMDElY37o/YyGQhzvMQ8WB7H1jIV6YjBiYeoFrWRsumEIwQt6k/3ENXaTOIM2PfIpGZtXaNNkB/dTMmxJoJCwzcy6/ZQM+xEzKRYx99hPSW0+OxCmbvKUjGGN3+d5rhgPxftiNOMrFb6+ARFqxFksljxvbUA04nocQmMvuSeqYlA0wAGAwUBL98p+V3oLGxAfA5NqZBRjGItxsKG0/AOjo7jSwUu7a0UaHsV8jv0QQ6YJYHAU4jCQcUrcWnpGRwFu4wAUm0PRRzpPW716HK31Nc7Tlr0qpkm5oLWcp3EceHZMxql94jx1Y1bHSHbZ5fNUjTP4CYwq2FrOUzUmXWwqRYeL+j09C0fs2LBOehXq91QNpcKYxGzJJVO/p21cCrRQ25Br4WkrX0QgfN6yfk/b2CfCggmK5xOewmGzOWrGqkdsbb/DoWnGgtft1xPHXhNjNj4psJ9Y9+8BahBb3W/HiS40CEyOo+N74hj4D/smcXniGPSQ7RRbUblu5G1AoweUtHJ4fdBGfUgJR1HAzZhpDbG1jI2TQ1gMom7ytIyZAeCsCJ+Ok+N0GMetWzwdY0cK6dTuWR9M4vgXU0PYtj6U9IHRWxwPWb71QaRc/owWw/cgUmzLcR4GtegmT0UmRtii9Oc8iAReaZw9qsRPRc5JAR90Sq4PIn09nhmTfUvzh5G+3na815Sprw8jfdq/wuh8epOnZKyKmA2sYLxQT8sW+2X8H66P+iBSwBHOv2HUckeuDybFPlpPHB1Wl/jpGcABS/zh3KkPIAXO3LErBGDX7Z+ejbWMm0A3eXrGHWKvP0sKPYD08cU0W3Tvp2e8x8RQ62M+hBQ7KF6mHRMoX/2BJPbWhutPL/MQ0hffJsxOQF454p6isf5qfI+OX7I+hBTiOE/FKWPrJk/RCuxd7AK5yB9CiiuN7XtpFT6E9AE7YvPVDlgfQvrwfeCw1FzsP13DOoWVjsMc4p+useOE8Ypxz6eOn669homNrZShHOWPGOfI4axaR/0j5ujUmm7S/tw+DEKXF6OOn66xdVWQKa8+foqGkYibbC3y8VMUgxy7gD7G+CkaJgv7n/f+KRr2J/ZbuUrHT8/ZMbwVrFPnT8kY7DA+k+NNnX8+6ESqA3KdPyV3LM+RS27+dAxUGy89NYvmT0fcVT1v/Ju2nEkDjx4Un3+nbbxr3F1v95u2nF3PEjSuDxDFkuAYGcBJ934qxkQL01nlG6rrtzzxhsTmqem2/qzPD8/Mx1mqrt/i3Lh84ibce/0W58HBEUYBHdfPCIVxj80g3h7xzwiFLQlw3TRQ62eEWkzwODZpFa6fEcJTHCcdzhd1/YwQnpaAzPnrnxGKQ2qA0ar33j9T++FwCTQvn/XP1IY9YFuTOvuPqQ30GdOPw0XdP1OrPTD2fd7kQaIw4wFKR9dBoT5IREwjbHh8Nt37t5vEtsavCZ/U/dtPYnwCOVScmnX/9pOO2zUdbPWhoW/GETPAVgFq1geFvrDUm9+mD/5pGQeNuNTS6p3fngnWji+p5XT+7JmB1msexev57Zk4hsKQLd37ablOjGocRqru/bTceNJn/S7yqw8Kxb4+8UzPvP3+oYDYIeLopqDC+YGDQNQ6kCfSag8OxfeJw3cc6qsiC0/X+H3jHLUkfrripIlvvRVceEAojBou47jRdfn/wUKcxXZ8Cd3nB4RipWBYgB/tAaGi80y8Cya4PSAUZ7yKIVP8pD0gVOJQWDhHNd37/GDc2vFZwzoRFvnhPn3pWCw88gGh0LHH4tqp6ANCOBRxL8f5SQa7PSwUaJP9LI7qRDEeFop30UYRljyH4MGhEoc8zMVYus8fiBtjHsfUcj9J+aHcE+szluSnP3jqdpBIeljzD84PXndQQGVXaA8X4cELDDYnW0urP0TPPhRasXO1+gfRH6BbZ+a0h4uAiHFSxVWM+Kkb2/+H+Vn69fgdIgIMx5mh6d5P19hUA4qz5yL+nV4CgsaGppXT6p+jS6xLnZoQPy0V4ouDpGbqw0U4mhrxyuuIbg8bxWkr3gVnCPo/YBRnpNjMdOpH/BQl2BMIN8eGK7+zWkzKiWtNf/A7qwWeC21b0+3fgTTmQfkCp34SvwNpgLoVprkoWPewUXzjmK196SDdHjYK6B3zMgZTn67/TqR4MYmasD4eMCK8q3CQpO9AilM2VnHVJ3q4iE2nhX2bnEHaw0UVd3fcfeoTPVDEkSdehhN/jsrDRTHZKlO0NMUOn549FiWhtKU3f3rGvIgvE6Oomzw9ORXgvcBctweKwq4PYgCfopUPFMkzEKamjDxYtYeLAjyEXQjQoFU8fh4GHCOckZm8DxfFro17i6BWKvWgUSU288VpTGP2oFEsx8LRfLJ9tAeNwlIVPLMETvJ99s8/Eh8aYKfb/5wpGKyGCz3/4CGksHgVcNKnxE/jMMx7KKsg3/TnPgpYEQe+jEq3n/uInY6Zpjf9+Y7wbhExkBn++Y5KYI0wZaece/uf+wiLyM4g8fMdxTBPkLXG+ec7CpsYLwLGvfd53jKOQx/zij94aCnGAMBQlUvQHlpqcl0WfGCIf64yXBOx62z9+ucqw0jG2bytfOoDTI1PrDAoc/wBpvhyH15ghWPbA0wx3GFLGzka9z5P3VgSXXEWpE9bDE1cqLKU6+cY7BzElt79Iab4szgibCLvNxr+lN2YMrwu+oOnLJEDOWR56ANNAb8PIfwti/BAEyHrD3Qg+/FAEycQPMHVQ7N/XlAcgPFWReLn8I0xibmZB4v2cFOshtj5BmEsxM/biw0NLLg4jLaHm2JE4s3D8sm0PNzUwcqB4MqQ+Pl6m05tcU5NR0w7P3fv+pREoM/3oFPMAtBULC7m9oNOnUNeqD6PXmb+HMxbWQvl7uAPOsVhIXakQETKenjQKfAU7uQwIRI/XQN1xKDFHphrpH8/z3ZsmGRxgNn6g06xECoB3n5d8/2hp74CU8avw4zcWz2NA21PQv9Lt3oa7830wJ2C+Gl8Aiw0InFKmXgaxxEmHrHlwugPPXHMwiA39uT+0NPI5RyYSL9+cYtStR6+axL6A1Bs1wHzpjyZ/QEodp/4BEsfqz8AFbYXFymoC/EvbqFITxxCeJmHnmLGx//IzWDAHnSKiRao6eA9QTx/MZF4TWaV7v0UlZ8RU8kgPtzEK4Mfh3789Jw4ktb6sGS9/uIzsxE/Y4PtDzKNACqNRBAN+INMg5jyh0a89YNMQ4FngqW8x4NM8bk6Bv5rEj8dT+C0jwNYmvj+UNOQ5Tk13/AXhSocxmNm5KbTH26aeNg2dka3OS+aVWJ2xTzt6PSLueFMD8Ot80n/xdwqe1ojSQvxC7rFHOLmgW7yqb+gWyzjeAdO5ohfxC3sa+yPcfs0qv0XdItfk93Rm9J1XtAt9CGnIDN+fkE3NhfCvPrWDzfFTgZOxrGJ+Ok6OeWFYeZI3B9uir0mDss7QBmP7L/4Yif+sg8muz/gFGCVCOASFOoPOLFPNr75SvzdH3aKu+vEOXD994edJqk4A/+WXubFUeP7kGUhM9YfcIoNq5GmNrSO+i+QWshZqqPe9fiw08JaAQ94lwedYqnHnhNbKPCzP+jEATUQdezRvMvDTQFeY1kFjtc9Xrg4NoB4aJ9E//qDTdrgO0aSF3+YaSkLAXX4Qg8zaa3HPrZlXx5mIouApaRwVX+AKQY75mgcNzkK9AeY8C/FoTA+ML9+aGmRhUXgQylYDy0t4uUB35Ul1x9UWiRFnsBcWngPKpG3FqgIbwTip+XhMPzlEaY/qETSYRie7thyf1ApPvCnzJSlP3gJAHHoIT0whh7xSwDIHMXTpzR6CQB4cg5uIsTrlwCAJycsgfLSHk4iQEYkLMf24SSyCHCQDcBWfzhpjy9DXjIkDyTFjqko/ZApfiApVnLsRiuQKu/9QBKH+Al09Xpev0yH2LAG26GvPF3j1EcmQG4NDyjp2BQbRJGJeUiJZViJZ+s1H0zaMW8JKIT5yts/pBSrPxDOJEh3r7zEDrxOMUQjb/UyOzjJsve2a8QeXjpki634NvroDywdXMtxnilaqg8sxd+zHcYhQRmA+4l3HCziDCn7+8DSiTkzA/8ogtYfWOKwjZnNvMcHlsJmEFKJ48Y17w8vxQkcZ+T8buC5P7x0Al+Tx6CIZH946egcTXRKv366kp17QPd6n/nLpyFbbGgkH1YCo+N12DhT+sNKsUaYrN8n6S9TZ3wE0QZZteOlJIWMtIGt2TpeSlIYEs553dG/8bKSPmBoHGQPDx0vK+nDU0DCKXZ5/LKSwqwV3C7gv/HLSgKk1pj2TTd5WUkx4ZS9/ellXlZSoFQ8rO0O+/glJsW1mDex65Jr+ctKmixvsAxPLU/X2L7InFVwbpSnK57A+N4VEDLKU5RlQGok9neUpyiuCPLG0bM8Pdm+Dg4rPXG8XC2MEvFMPdF6khex2CBapjUMwyTNrgCoRfngo7xEs0oEBaevXvFlmsURNAxWV9bjqC/NrHHibkNZiKP+STMDPxWZsVFfmlmMXyfdj5Ux6kszw9fd8C/pJv2XwoZXgdTH/Bb16TpJSg6Flfdan64r1I8RGZI+PQOGfYFB69ZDn56b+C5pX+nnGfWpiu9rHvlchnESvleShLZQ5TBOCvGKkyizsSGuL4+PfHM8HWmTRnuJg1V5/KQ/pVbtJQ/GFACOyx8+2ksfDIMRq+WT02G0lz8ImG1xt7bufV4OYVgTDtX4HfLZ+2Uiki4UE0dS6xszMoyqsoDJIn4Kx8yOA0bX4utP30ByYUywuIifvpwaqTdQunB/ym4sfJzgNWv605Rcs5h9B0/aMFAK3B9Lu/ah0MQwUOI48HH6/JbuvV5eZmC8uM03dRPrGDado2BMAr3gSwWt+B17SVsyXi5oI4N7JNAf4yWDxkEoXoVDQA7heNmgnXxwZekhbi+ntLNJx3mfpxoqKUMcVKXJMZ6eOMLJvdUSG09PHKST06p+/fQkZ7dzmObzjKcnaRSxSfR7Hh3jqXpixyWxe9y5Z7zE+SdEcRRhgxjGSyGOvRWLB4waxkuzE8whB0mJ4cZL+Dt0SNMqe2nZHY/T6cQ6EL/MXhLfgEbaCuYvtbcrn3jKDr7c7C4PcSwdTa6XnN3RJ6bWp2/3srPjFixWQj0krj8lVyWsGbOeN3kJ2mHUMAIx8IzuS89Od3FsDnrky88OVcrXOEjrJtaSOpk4GI2eufLjiYGgZJzq1/OlQBPFAizeT/TStEkWITqhkA4j8/K0cfWRgrX1LV6i9iDdMNapQqTjl6kdp5U4pe1cGn9StZXnu5R/MH652hw9l2pQ8n1+ydqT7NWYMCCZ8bK1yeoMixe2ksF56drkhxeykTRRX752fCVAWJcneLyE7QA+B3SjmNt4GduxjZOXkK55vcwvKf1wVj3K2xsvbZuDqvbfcqf1S92ecjaPa4Nf4jaZ29pq89ftiQMw7kH+QI79y96OGRXna0ph9ODxcupjCZ4wy6j18rcnO+Up6aoZL4F7Tpy6IQdyjpe+PdlvyQQ6uslTdXMWi1lPDGY+pDTxk4UdJBTKK84HlgIijKqqIIoqHlJaeGNxtRxVYLwqA1LU8Pay3uf3KzMoH0fS8unXr84gLEzM+HgiVRgPKS2M2OHgRBnFQ0rklZVOJCMn03xIidgY25sSMeZDSgD+AKexR1Ok8ZASw845Q6eS+ZBSzNJ4SVJjuMlDSitsaQe+F93kKboB3WFWOGTNB5UWoRY2rKqbjFerEb+LEVP233xQKWBVj4UUO6rE65V7fHjB6sk6llcxQjCAQ+LSr1/JSNhFcoXk5JwPJ+HlOABXDfnDSZsIKKnQQ+Uw9Yn3Jk9XWHM+nMQOHYfazblU0+JBpXgJEj/iz5hHDyfFL3HVVYUx5sNJsbQ+ogwqSZkPKHHyGXonvfp+BTMxCxdFCQziQ0lhpkMe+y7H5vlg0iHFcVEEpVKe8sSHUpWl0+R8MInofywunLyIrejpyjfcYd1ybj2MdPBaA/z2HYL2KwEKg03iJEP2UNLhMBpvo6PwfBAJTyq1h3tI/FTd2OuFgUD8VCVrecroUYj0CpzigEfq17wVI/PVpwVUJIzPgRXxK3MqSwBH+9h8FWqxckGnJV/mFakFPCDAVZR7PV+J2ifAQsYd7/hq1L44BjIthuqiXpHaR0Jra5RSId6vCov8kkMJHGIXcn28cQCNj7PSfIVqJDE2pX8ifUoeYHkcHzWlX6Uax5PF/ittXqla4NdGXtlHDsh8tWoUWAAET0uMP1+xGpY17AXxPMTWM13S5G6i0K9crZFiEQZBCv3q1XoGS1UsNH8Fa0POIOAJ9WLWsxBWx3ukBfBK1uJ8SqlevCj6v6K1MOeowyLISfoK19i7YrPiPJpKzacuzjemmUzjfIV5Hz9l+CV+lXnEIBupbnpN60oqCBlQ2kumUdJipALUE1xAfJ74EBWNmZqBp2mgRKiOulGK4RBb3UrFB5VesqUGSouMrslxv+vXrwQxvnXd/FG6ZeZ6ZYi7KDM0pU9VZs2HrW3390/b2No+5eXpudYW9I9qSlbUo60wyWHYn/WVe6vzqiVj8yDDke+4X71l2KRA7D1n1P4VXMZUO9RsMWF3/dVhbnIBVNk9jZQWnq+wqWFVdRMry3E0QGRsHnwTI6U4GuLGCSOhb2KkRIFHHJoJn6oG8al68GzgA9QjX0npR0SYd9ELvprSQrECEEIli98TH5LEY8XeFWWYtCi6KwybQIJhUtiHSY13UfnwNEwKZEZWOeWbuokV7eQmYf1x809jJIBs/GaCRRG/yllWYNjXkzd5pbP7089nPvIpGuuGI5nyreZ5ih6KUwm1VqowrSgpA0SVVcexjJDIVFEW3wCiLyMkFQjE4oi1ql+/6uB4WgH63PL39f1qhCtne+V0r+8VCJMD/skuIbaeg+o0crSOHrqemFT39kqUljESrms+01FC7TJGkns1EFNYsUygWuVpS/VvGPeWVaevEpqSK2Y7jpZVXil0IVZGiRpvb5iEi4EQENnNiPsrp46vSRR36ybWlXMh8VdZpWWYxNnoTKLqRzdZr1IbP6wySrUal5ESKLfE4m3a+1d5Bd8YuDDjjFh99d6bOBJHJ9XQPjUPhbUHhxBiqxlfK04l+Op5ceMkdgPKj6iXQ2w14+8OxcA4d/SGr1w/DAZ+35g5eplX1R6WITBIVkWuV7CvbHCcXqrdfRX7TDrmXq369Xml8VuYTUUv69XsUyVK3p6OuutV7etMGDaU8Md6VfswB6C/dqD1K9tXGWtp8iOsP3X7GLkwDUMVx1Zyk10Tx984jubcetX7mQdV77d4BfxhpMjA6PcV96MQqCQwdW2169Xvk5CEG1QpgeuBJDxCuAuyhPohJAr6yB5sM63UeiCJc2gctwgN3ytP3TjdUMNwb/UYGOK0NeQ+YcweTsJCyUtE8vh6OOmQqzao5mEGPJxECSj+iIo7eD2cFLsppVwxI6mafjgpTNEYzCVg+3o46cypU3bg7ZxgDysdhV/ZgPQH9dFEgHPJotWv2+OU6ESGmlgI1ug/WpFKPV7XsIxHpYFTAO/AzThc49Fp4MqNabOL3+dRagQk3HUEjG73bx6nRuwSqqTDkK/xSDUG04OFcy3Z/BGIFEXmPw3oLH/4QJRyAJZa81FrbCAahAwJF9Z89BqHknyyE/QHVrp8epuhbWgZMRFro9RYOYDLgClAxUdEOZbgvndf78qJsxFZAXxfY6Z4mYMfcQsv6AFWmFc5FGirFN+YiQLcGGiOxBJbW6WRxCGZlJFlyLRJcSC7VZuCERNFg4REiwLuaz1Fz+a+TW6GZbxEzIyMvqL0jGWwBFr5slaF0TJYwuafj7U2dG+rCX4lwWtpOzBM2jK08AJo+hkn7aogXhg5nmiYtKtMEJUaElvHCvbphJgktpJAwsOoEGtdhklyo4BLcj0ZJm3S9PEDqDhpGSZtqrzkRp96PytJJmOg0Jk7vGESIVJ4Zg4JyPr4RkqbTP3Tq46ky0BpC57Hmjykly6jJAILMaqiL0FsPcknIMFIMYpllLRj6RXQgPZCg6Q4LEGdg+nQE60maP4jLj10a6vZC1YzTHPexGrGDTDY8d10E6vZwZT13P3EICm2KTb7Tj4ETA5WMg4tTEIqqBBbyc4cIZNs5QF7GyfFyUTkGmGXYXkwTtrwNsSUnQpCbIOkGG0mLelnG7EVHfDLcCK/MGYbKOFbgPEgwJZe07qSVkq+EVH+/AOrS8Ib1ZEqgNkGSptdCRKX0nP/2I/QKJZbmHeFcRFbY84uhfgTBmA/MiMyNgdW/hYf7UdoBJwpZHpOia0xwU0SQApH5P34jGZR/CQGOo81+3EaUdmi7EEsxn6kRlPQlU3zavxYjcLq4xX7VN60H61RrNTAZwHbOVfvx2uE87NQbaUv8IiNJiW8sR/V6yraj9yI8wIpT62JxsPqQopCQoGSm7cx0w6kTMxryAmxDZjY1MkADdV4RwMmUVNRWquMp23AFKBgUNER26huYkWp4sJ2aEltA6atDKmCJURRA6aNmxenvCJM24BpLzkoN/5ixNaSV8Qks08nLYkVXRShEVVv/V6xrmxOtXxZqr+Nm6gAmTjp5in3D6wuVCaEyz/93trG6qci4+gotA2byMcqRdQbuoe13YSDG640Fqhh047XL8Ssm55o2EQ5iuIAB1fMNmbaZAziGJucJrYBk5BUoXwU1LENmLZoxTqF1GJmsZ4qPoN9SD+2jjhaNFxbt7aSeOi6cArTxXiJiBTG4CgKtI2XoBYiSTlGkJsYL0H0xV4w0tYYLO2zCZExUvq1lSQfh2rVA+zeBksHXxuF2F1fwWDp8Du2fJ1qt8ESiWLkcpDdiHha3EngJAtfb7IsppChK/MI8bZ4AobYqe8UMkw6GPhBHYle3RgpkGJjP8l6+G2MdNgJVELGtryNkU4R2FqKCWzjoyMbSB1O3tp6ws5AIZbSGrfx0SFV/1NQFoUMkEgx5Jesx3xzAyQQA75CpWNt46PYwQ/5heSwIbaauL4UeWIP2gZH7CidAtyDb2AbHJ0aiz/OMvEy96EGSLgUP508LkDdBkki4YrDR7/cP9aWcVlyvTEIBkmKGQNkd97E2uKU2mTvaO4aJB1GLLbJeITe3rpWlckDfBkygySIZQqBdJVPbIMk+StjAIYCctso6YiKhhRkLTmjpFARSjl4PZBayUb+EO4hwobbIAlOL3J1SAVN222cFPO8U9eGxwqx9Ww4W+MoKY/dNk6isiWOIiAxPdV6xhuTj7aV37wNkgLtqvB3kcS8DZKgLFPBWJH2BklkzImLo+WvrWZn+6B4UdobJMUdam9Kh+WJRkkEi2HLyorSbZQEKUXHFSrVDZJCtyHmPPljtkESudtk+WOaEVtHcedVsekgto4xX6E/BNfDB2UlSeH6qlwaiK3kaOnfFKXEMUI6ZL2r9ISldYyQFGaJT6zaq2OAdJRzTBQKFHEMkAKhUA62Ezcdo6OjpDtKr1p6KI4BUtiyBV8Ss/BesapQp8SUS5xyDJBwlZCroapi/YEB0iGfIm4/hVmPARKUdyz3ozSZY4B0JqNAKiGY9RgdkUdYu2jmGBujowMbCLdZtwjrGCCRmjYpfwVfil7LAOmofBqiqeE3tdKwHkDMplKKY4B04DeA8rDmK1ljnIGBVpK17BggxcmEAvCRWRXHAIlS7tgsSLYcl+7LGhPOj/dRttwxPjorc0XgKUFshYEr8RlrvyfOY4h0qCXssEKIe8wQiXqwgIqf4uH5B9Y2wFsYiBJITX9gbaEDmxx/u97H2sYuj09syOtxjJKogSaa1JRZc4ySDtgURK4Q0zFKIvmPGbcUTT2GSIdMaO2ReqTxEblykLoVmfdjfHRiCoVdw83LexsckX9UKFlSIsMxOjrgCab3zJtYyzAG8dRWlSh0jI7weNXMEOC9jY7OEXCm2oP3Njo65Oxhlg/b9TE6imEuArFKujsXHfFTHKQbpz3ibjEZT8rI06+HxTHbNk+suVWdi5DiCou1YjzOvbJ8hcKkjpdTt9oWx0YOd4mYmc4FSdCLlspzBPnOBUmULlG2AY7n1xckhfiQPhwg7JI8nouTyDEgS58g8Z3ZwxrDsMA6ENHEGdY4Hsuh6eu3ausMK83pivBR0aQf1rgAlZqoi+4TrDFkHVwrw29lpUkdjHHAYYDYSoOty1GKLdx4VrocFdvhd8v7TOtdCf/GR1NS/plWmkxt4v3novozrXScRyjDxELeK9a76vSxqPK4D7HeVCTH74ZcNGdabzLiyJ+TI/tMK11xYEz8MXzmaY2pM6ACcKdq1lix2ALVJMtlWePcTTnL8SbL6jaYVQ5hc/3a6lJfVcgA+yS2ro2lTOmPJtyyoo288S0XPWJr2XCsxRjUJbG1hJJgKN9a97aWYVKoMVCMXOO4rChBlQLklxVZVjTmJ8g+1EW8rWgguqq8Sa2vbUUJ6Q8tM4mtqI4pWFJmzbaeAREgSIWwFrH17MpaP0CQ/KDbqgIDcYkPT49tbSmsUR03h76zrS2GrpJ4rK1nW1Xytojuqn7ybKuKvz12mSMnxTlWVVnKsR+52v4ca0uBqtKktckca0uBXXo8RPJodQfnUuU28+rH6lJVSnGfavXOsa6T+lROlbJrx4pOjjLifrwG7FhX6nOUWnQ5286xujgzFp7KJJ20uuKkib35iBDr+6xv1kwdhcjE4/R9VhgKQDB0u7MnLlnpSXJfAMpPrFvfZ61jpm3mbrnpFXHJmpNNsCGOKKKy/qw6NG0cyZPx7fus+yLoG+ZNdT94lC2H9bLLBSe59VZRiKi28/dWnMQRNsukjvuKFccBXDiwXbm1BsszVZWiGnKrzIzBCohyFyek5fGV1wf3h96/WF8cDa2JMPaOXrHKmyAd2LXlI6wyURqF5kXe+BWrDKvYIICVQ1qs8lYyIbvKJdn+irVW2tbcRYdAsv2vPD4LDLtxVNcjqrUmKa5T/S5Oyq9a64NIOe2XNfCrVvxw3qe0d+2rYLXusZ0Kp6zlSVWte2wjRHlikmq4qnWPObupgM7pWa06vsoAOUcJaOTTWn5I+YHIwKN7UZaCD3BSficn1IVZ8kLE9gAS1ahfnAVhNryrlPMmj2q1vEMLw1y7dGvfBVvQA8T/Nvhd4m7xlFd1JRfdd9FWyGH+0xrTm164tcFlGEp8pZJfpYuSosiunynflgfcrhRBiAr1a9a4cL6sHJ/Mv9qtdAFxbvhGji9ZbxABQcHZUm69CwnUZF4czyrDL6wiJ5EqvyhZcJZvHTd2MfHhZwxWSlqjH+3kZxBG+TcRQBCML3kEOOcXgsFDI2kYFuY0IGfYrJHf0DgsPpJOm1Ol8+QgWk6M/8MmemQMxqACEVFKspx+hmJEj4tiiCLt/AzESuVsxg4jMsDPSKyQ5kIcvaSdMg6L7eAjFJClZeA7y2EsIuGuem0YiYXN7pmLON4lK95U2QiPoKyVsRgMZLE1Q/KktzUYC5zBKHDm862MxsjULioLmcOXrHsXwRohvbybddevcZOt6j+x+gENwoxSTSI1DcdCvyKilfKtO/KGZPibCMXjkPQlj0AnkRg2WXGXfsZl4CPyEJl6/hOPAOUpVLyKK4yErCsXidhW7pbkVn8oOxonRv7euhMhp5TjpN03PqOWPwb4azP3LQM0SK7gCskzlsbEIA16OgFAlVXlJes+si7w3O9lpFaY1qqv7pfJ9DNUw7ZXAvvFDJKf4ZrIPT8AQN7NeA0K3AWFZpLgfgZshTpNEge+5u9o0IZblFSLsXJpG7aJK07B7XyCtZ9ZQTO+FFvzKdaaRtjgqmHQBghlNU5FzEJuzeksADFMOf60Rm6FmHCBczuXkKEbpJyxdBt+C5FNW+2liiSlVEtutYmq6EpOEUM3MaBlxXH+3joTxyMtG76teyvrjXMFb/fOWWIAV9hxYx+GekNya70rZi62r+ZZYggHez40GO3aOAO4WJsgYvy4GlsjuNgeqWPCKyNWaiO4sL3QQjA5RHht+EYFHeGaT76JYt5wuLHgTP2wvZcj2/BNhzri7kqaLSYPJ6XuEJCA6OQ2HDF8IxeGTNAqVrFiBvGQUzm5yN7aklvrI0Z66gGab2XF6bag2X6fbsWP+DhFLXz/xCCu0O8jDGCsJutiHIfVH8pwmN1/VX2JPCjODwJB5hQPudIKAsrLZJhVnJs0gogYTd9q+NIglQJKYb2zoVyFNoVoxpf85IZyVbgCAoh7n205qDOw674kg8X84uI1woszd7k4yxzjRHcxJvgLm+TWvTSl4H2igDfDeIjZ7SqgKQnWrTc5VFTifSt/b71jObON7WQtNsl45jFAbaAvawQXCzg2iDj+J2oxy7jqsQn1bHXiKKYZh1STnYEcRH0F47fYj1XnmY0FionGyZiLrUadHCS2rpX9kl4QMhKmGg/5xHeMo1ivY+wG7xU0j0Wur2Ka8S2a6yHOA72OwVslOMT9a0u51SX+AdlQfV/M+C1Od2D1pchVfmdDuNpEsQQ5T8qtNM0RGnVHzX9iCEcDENKMx8qPbPxWyT/4KDvRZm3WceYvHn1mbMqteGcOkZE5kzLfiuO+7NT6T319Izfqc7B2Izc+045vcjJ5W5UEpuKGbbXDiHGI0uarWuuY2l009mkkDNtirgCYyC7Wqxq2xeYRqBTfU05UY7YqbtmtIb+jZNhWoQbjLPAZ6JqBHAcgKFh5QP4r6w4P9mH/yudY9aHWFvJtSm7VIbs/0Jl3DYmBWx2yUGxK+XvrTf14wRuaehu1xT64GKQtzGQS8hAXdhdcD7qNEZvYJmOfKNkXwWitKszJKhcHt2nI0xMUFrGWVNZQrdKUZJOfnxPGUI3YKuk2dVw3aTET+ebQEjtUzzTmYh5ysBjQc448bJuIHK+nAk1ZQ1zMRA6VCImKRY64fCvjNBJmCk5n+bOL+cgJeW5CDJ1E0nwrQ7WqtB6gSVoOQzUR70HekxPZSK2yZcYeTx8T38mqb3EAkTMyfMmqkxmMZuu+l1VnOCj0Kjf9rJihnNgVteU724MUU5RTN6q0lJG0/iYpZ3uGeLDKJ5i3MlKDWR7EIhrqe8naB/qglACOtfvOBmuxB/M21KpO/5UHgUwBNtHbvMKIjaTNqdCVUIh5yzeU/6IiWTvf2eofEkhio1gr5dYdvx7WqzbvkYZrldwANvVmb4CJy5Xu3ojNKfegmLmcYkpyYfsquUKM2GK4yLYOG6kPb8AWhwkxDvf1eUgM2Bpno488sp13GpaTskPx8/aMNGZTqG3gfMo2H8tiHSYI2urrGq9BUj44Ac36Hn58Car2TQlZtgax2oWkCPhZ1enDiI1YGH6hlocDU5hDqNvUk202t3UzYqNaksLQTac1qWEq8602N1WlSCm35kUh/LZE0FfMZL45r9JTruz7dOsd+zTp0zXJ8c1lvpNOjlBJU1MRw7WWdMm8ktqHGKuJc5uQVr0FYsWM5kTLSKAIXWRXTWkecnAkeS/7TirTmm/qwkleIN3Xd7PiTeXHNTvMmdqcrkvyFSUBYzG3+VZrBlj9dn4kQzVandWqwJL0NlSLH8fWwDnypH7Wu0Fe1bWU7xsZp5G6wzyJOaVHGKfFSUw1U6PmqxqoNcoo6S6X+4yJzjcsoZ0Tr0LkxUznm4CACAWXm6eY7ZwGLJTEU12v9jFGayhHTtIe95WsdRfh7v6Uf1RMeL6BRYSzm+h2ixnPlZ67SZNQQlgx5XnI8fngR8nnGq7REhCOUbJxJLfKsOHBtwdoThWM2DhNDrGqz5Rba6pIjuJRelUjtjby/EbSn+RWecBMQe+14lEyYoMLoum8fLYvWfEJ1UmAy9dSyCzoG+57ubdqNvIxYuMh8LcWkQ0Xk6DjJlJ3ppauJbOgQx9HgzPRCNxpbtAG6wDJFmPl5zBogxOMvXRO95AxF3qYUsXVcStuX/IIyOV11NnJlzwC+PuqSMFtSIze2qIEUAzRUt/orZG/CJ4s+W5Gb40yMlBJmx4xAzjolzOp7pZzFNOjswNsUr+WkqKK+dGBPSRfx1tXmw2jN4KxkF1VEU8Vk6QzGzmiB7LL97L2cCmR6/L97mTtcUg3eFHUHctM6WQK01bgj7POdOnZbDIL0zXLDOLEa0YQ+Zv+MsZxcbCk3aFqeSS36gde+JOFP8Ws6eQDqJ0bUdL7voZyUI3D1UNiseTW/KjyOQzJJXMuJlCHjZ7vQMKLJp+hXIwSU190OJJf1eEtxdLdjjjmUA95pcA70FrR743jOsEO+mGKMa2YRZ0UPzKd9sxzlWnUtxol5Eh5yRnHdeDFB8eVvIDmUqcZxlDacbX7ynzqBFS2KPq2zuEmVKejSxgUjkoGSyZV30rVim2CBelL1p09Mz4kGEBy617EsIhjw9PBWK4r85PaueGRN5YDZ/QuJ60ml4EcRX9wxtZtz5dp1tVzaEJVVdOCGMXBM5updDmYRnGdYkjc9V+uBKO4LpKFnQm79xFWn5LReK2532Aay2E8K30WulaicRzsFPDXhJHSnQziIIGGmnSkY8qc65RLKnEZ57Tk1pvEupiXtjNGcVQuscVkB9xi2vWQd7mkdvbbMe868S0+GXRLWk7Gb9AVUJXAVJHcGsPOepin9/5Wl6lO510VsRYTr+O7pqsZKXZqJWb01uleC27NlkjmXSef5qtirpY70cTrm4Sfrn5ieh8zr0NCDt0FCeLZUM36EjzTnLl8VsXc68pAIXc2LKh6oRm7QdPLoRiqG8mtMiDlsC68eZmBnRpiukBgefJW1jrMikqfFKcv5mAXUQFZOTEo13qah32rUQUBvJNPN3yjzo/+sNnoL//EukNZRoXD+LJrnHXXWRCipe89xbpPldzjeMgXs+4zGXqpZ7nDZQgH1ejA26787WI69pDPru6fzSde87FTZLHpr1KVl1lMyB7yo36LdKa9TzGK65BakQjV81ZGcV2FuxT8ZGc8ozhKIDjCfcqFK+Zl35Awwz41xBNSTMwecvVchKOu+NHWnfL/gUdL8TCzs1MQ0j8SXafdSWZop4pdVd5r2Btilvad3pjYI2d+emO5vpPvAUpld+2z7sCNw/x26NFc7XFJDW5or5h3s/qcT8UVs/NWVp+9FlreI++HudrZHuJDDWWSS27dqXOFNahmX0BjOVqK8cIUDEhuxY/IAKF69kc3kAvrSLeMkp1IiznbcZQQ9SJzRK9qIEfHKo6c38pXMpCjsgZS2X3k9TVvO+kTEPkT8/YXNJCD8JXKHZruuu/h8CUciV+8ttIBzN7OsKrE6LufyRBOa3woS6f4VtuXeADt2m5maTGN+x7i4pFnVbobxdF2gj5nSXtXTOQO+QnUFHo9yavlHN/EherhNYSDWgZqDRbRVd8Qjj2RvqGBsfMp1r3A+6p6JImtOg54QuY9P5TxWywxGBEgz9RQGb+RrYEhJV4luZXGNwbddXVAw2zuSjGnlQLETZJbb/ywbDbKdiwmc9+kbhLQJdQtuZWG2qIR6d0ecqM3sjzUWS4baRq8YYs7x2y1oC/mcycrQrj5ywajJnSnAd2i8yw+FMmtdCNQq3402RnTSsPwTkuh7cC+Od037OrEEY4yoYtJ3VksKnAfosApZnXfI5NeY2bmGjNyG7QOoBLkTFtJg7fRlWAEJZS0MHJjh+gUVInYppjZHV8SlXpC8Xf8jNyIj4uRUR14isndKV8jEAzvkRQ3bIMzhgDAWY5KmuJdPx6YypJGyphN2TZsggRkbs9Q684Oj0em+aRqoneViNLQqN39xrCNCAVMGfWk7oZtJJEsCCC73aLmet/UpJOft9bwSBq5kXmC86rs7K1q2MbxlY3lm3bMm/R9ww5Cs9Pe3/o3esMpA6T/5vBfGcAN8u7xNWbSgdnfQz7gsqRiXybAAI7IAkeDfu7vrT4dRI5aYNj8GcNBpx4TtxFYldzqr29yTmyZj2T+dximw/yolYbmvDEcZMiEkgky+xHWnajw51iCGeAhTVIifp+XWK2YBX7TOLLCc3ucumUaeM4fhOJJsK2SW3Vl5OI3sUExETxRW+hdIKRRm1ZjOWod5MRKB7Op4OniWEgWHUq2LOaCp+s8CWj4rKffytrTXp25HTbeT7f2WzEnAJca1lr7Td0CQT+d3c0ITwEl1Bf7pHPLlPB7KLGSGSQbZE54pUB1MV+XCw3MC7+hkNOZVvzHxcTwdKOBFlJ8wZJbbyrLuuoFl29l1ekssSlcy29oHKcmSvQcylamJognPZm8Yp1q1Y/3s7zh0SJQIy2M4CgVpKI628hmC9/qS+RrkCkss2+iePb+ggfgE0liMVM8UWL6n4hMzbcavnTERMtMkfwqTtNv2l6V3A/MFh/yOtXvZ9+C/2K6eEotKcqeWaZezBe/4XJhAMvItzWCU9sngs5r37OuSeM3nTaSmUi7jlnjiV4zzXuy/RdzxosxgpLqkacrk8bToBsXLDzTeX9rjcsSBNVyGhi+iak61h8RbMmtNVEwiOX2Ld0sJo4nKWJAjHzUtaeYOR76+lPF5WLvndnjw0pQUDdkH9xr2Yo3uqYSq5L/2hTyW5C5slnuvJUVl5eVE6qsmxnktzZ5Wvik48MU8iEncZ+ddeX9rbg6RdPawCmV5pHHCUXq28gsNvPIU1xc5IBX37FiFnn5OwgCL3eYKaaSj0vkm8ApqiCGueQ3fvE4+2h1Sm6lRTMCNpfP1HTyWwycDOtwgMyU8nEJsiyO0/nBDd0gpaH7Rzz8nsfMK5/l0LD7nW/6klXnDEHTp33l1p3AoFrDdX9Agzi8qTiHWTFqi23dCX/G3gwt5P0Tg7gpovKj0iBf8ghMJlDHhBZf8iCQhs3xruXCNY7Dk1sgxUiIbL55uhw2XMrUkd1BM5YjZArZUWb+mnAeS0zIirlV/RceAIXOIRSw19rE81vEkhQidjnGzTxPr3hyqslt1vsazVEneJpSFbNhuFUnk7aJsMJPN6AjobURO8w+7iagh4ZtUUPxatuKSegJpECk3bLBTDEL/WYjAOzb0BjNwSjDbgmY9a2sO6kmZEN9aWsM6JQkSaVwEdw3Df2mywNpKbjoJLfiVBgcWQF9WEM5kWsUfRNvqYZy8C0Cy/o3bFOM5uhHUaYYT/MpVjz2ePHglze7jeYC5UAHBmFByq079ZTqoKUhMZLTIRjcWWfqZ705uuNXVwTSdPSq3YVoqqS/1Hz0BBM+tgPvXcZvixqhxVHDnk/T0W99VLYiOtjdLvHdl2ILx2148qUM4eC/pur3D/gwiiMcS9r7cGlRMTk95QOiNWrnew/avnS0ssbLhTRLPQX27ElJn3xb1X++JE6FwAD26ZitfgNUmXu3vbe56ul1RwPrfhMlTFa/kwWnKM7/3UsehEJxsSim1M3eYA7fl1z4NRvUG8xRQE9B3Y38mbOeIgXqYinp3X6E1Wex0XTYPRmKiespCsYFe26eiZnrQw4H0if8ef/EgA5KCTylNw/P9PVkmp2pbrfals1fT0YCzkoCcXphozn1ySTVvzvb3yz2NNEritO0+Z5u9VUsrPVwj1Gmst86/pIamUn05rLfnENhSCYzUnLr3rSjUqqiRxjTyel3utguJbfiNIOr1Fo4/8+U9uyJJEf1m7JtTnuOYiL7vOcdk9qTRMmhrrMD+VbWHbIR7NGZ+SdWvBMfxwmtegYT2281O4fyp+78vbWmdqmpmWm+krWGxmpzmtbXMJ6jEJbMmNh79DoGcysrSSd88pJbYzXXwXWvsTaWo2Cgsp6q86lMbC9PuTLIXyqJye23Dk5UydSacutMbtYQ3Ws+xTqDkPCFqJtDMbM91L+kjhP80NQ0nCOohk+lp8PP5PbY6iVUU25BWDHDPZ5DtWOjxaTk1hs6H7rOixepmOOe/TRAwCfWi6ud4dzKVpdnyYzkU6z4UoomfY7yxaw4IwINHJD53s2662/ADy3l1h1uEepainOSzHpPhwMQIF1gNVyGdNQrUYc30rlo3vutxjmM5MxhNKRbClRQJpcr2ZBuKY+YZy+bHkM6yGCIEJUvp5UhnRhPaIl0HDk1Af6WNTgakvwTKy5GeAx1z99bcbEYTFGZSW6tycuo4jKS3GCOGn1yPkP1lFtrStCpj0x3nAnw6VpDNzaSgjV6xnCLsyhF5Zk6ZA584Ca59/CGXiBjHnzl9KrLbR7ETYRPfduhB51qsnIAjeNUVYiDJoPCZsOnZIWuwcSyNQ+N4AR9Ks6pnJ9GcKSl9Wzwq/sYwVEy1MhX7MZKJsXfJMo3NedNU2EEt/HOsTJdvF7MjK8clqa2gUosNDV+yIXGRxJIFHPjA7eOAvR9532sdREDHE078vfWuqqIj00jtbDWFQ7JQ4nv3eBNjo+zghMTqXR6JSO4TAk9I3kniunxt/oaETn8qr+FEZxYzjhP6VRtfnz4f3AITFgH/BfWmzh4B7sqAGOS/E3KFMGZ3/nSRPkkLDQ47NdK+28EpzwaMjZzthnAkU0yVvYevA83iCOdYlJCV3MQDeI2RKx6Lbm8zZQPTwHtyeHJth4GcYo409qw59ON4GKcikJF27FX8+VvgpRbpCupnxGcIFih18AzlEZwxLGOmk2vfDGrzhkOet5MajJvPmkfSmegADHkJs7f1CfDXBCDfyS34rRJjUWnWlM92tT5pINAs6SUNV+y7gP/Wef8uSW37pASHOaiS5jMoU+N2Rwqu0ixVadYRVDh5HtZbwpi4GArdhaZRV99efETrIzYmEZfmQmH5pqZEGQe/c1RlaYXbV1CgGIufWLCRQmuWaZkMv1Nb5YqsuT6+U+sOl3cyQYXm3BesvZLrVi02Uhu1UlVrZTNrbulmll/A6AWPAhqg1tMrb9F9bVoJdhTF+uu3DMoT0bz062+GmIr7KdbGbphrOukKWIOi6HbFqk/lMdObjLLPjT6UznbuQmaZp9qVxq/Ey3LW1lxEouxcWpMVsyyD7Ur8cfJ4VZya81ibxQ+az2bZ58+g6uKyjZfx0of8uXjn8PbuLn2YRCgNIQWVJruhm70MIN6bmSWgNn2aQxDVs9JIuViuv0NaQo5V7XOlFvjo/gLLV0u6jbhPq9C31Oq7/wpjN0ExjklPX+tafeJslLHDnOO57UR3PlIhqHqMz+UEdxRueAQOJf8WM7CgdnBMWYT8LMxMqq0t56+VHwJumR6IylvyxT8jHHYDNrczpQ3yytdccimS3m3XBmjrZd8K8M3jubwzpFEcRU0gqMfAHML3OFL1r2oEQ7NtFNu3Yt2o/qJVLCYjx9P5FE1jdgfign5YXujn2+j3Z7k1lrJSZ1zvWa04VtMnxrjRLps/t5aq1flR3WAtDN2S45cimZcJWVafkgX1Fr1LjNDt3iXeIhIFvNO1phvqsb3+0Iic/Nvbf+LgNeXt7LSscQ+iLGu4TN6I7k8tqiOu+HeygCOemBWDvUtkltvYk4NKsRcagZwsFpRqjXu+jCAgyO0oYs4g4v5+Tf1gRyb+OCSW2tyYuiHWx0pMkn/htw828PcV7XWXbWZqiGQ3FrH+RlUNXK+GryxuZNHd1r+3OCNPDTAHhlckltj+IBi8Ah53jcyeDuq9/4gWffLGrxRx4MzTe2Lirn68brGAo8dYOX+Z+x21NEHNoJ8V6tMxTSev25nran6KQciwZUck+JLVlyhV4beuXsm7AerVMWx72QzgCMBIgx8xWfpP7H+NJafUMTk5DGAO2ocAmGhwLR5+zdVV2SWxiqXLoZvRESOikwdfDZ5P4n7ZCiLKlFyq69+8sR604QYvh1NnUPb2LyPFYeqJdt0yqgbvB3YwQ6kkDk5Dd7EHEWp3O/7Gb8dqqWayuvyVtYawAf16x1Ag7cDY1Us1q/nfDZyy9aPYZ9X8ewxeDsgcHaHkQNu5EaqIJHgmQmy5vLfqoQCzs5cekZuB1ukxuPK6DebP01a8BuHHrqP6fzJCe44HmPaFsmt8qGlDu1eZOpM6J8kkVDmiIK0mM6feQLVABT3S/JUmS2FaUrcJOXT8jrVCr2dlC/L4fQix0trxYT+JIizgulFlnody+lxQw2DMZYp/Y/6CTIS03Fe0/rjmCAfmdV/ncmm9hc3AGTTKzO7zO1Pm1Y1p4bZ0XfrvoS3VefWz3ez+uxSNECQ09gc/wfncqcKU4TWxST/ISe/iTBkzYdbe8JsJNNkdac5/gMGkIUQ3/aROZjpPy5VahnwHutW1apDpYb6VR4bc/2rOVndSi2+1sV8/zRdpiybPKrip1h1GlJ3ComcrGDSf6VWLxZNM+gx8T/Ev+pm/o18NWvPPCQHdDjN1eT/lCnK8dXG/RMPQFPruoB0Ob2atW+KoF7/kB7ePACwuXOsV8+Q4iYAyuepma98F6cbASiGAMTOFpfFnQBIOiYcTIp3Pt2qd2ihj9KpJbfeNCX/2Alu18riZgC07YQ6lGfqszQrTp52HPEo5fJbWXdlr00QhAe4W33Cc5R53OHq1l3UI6IJqP4Tqz/UymfDMyO5dSdqhftNLbSK2wLAPjBF1fTd+1j3OA0XUnQzDcmNAYgikrd0Mmyff2Ldp4acZkX5ttadTXOSmZk2pVtxnOGNElWdUdwfAI7DDmaWHcqxGlackiHqFkqKrbSCPUPMbZJb6ZUdTaq4SotbBByipa1/AlySW2n6OlES9ipi3CSAVBqwLM1CPa2G9WYEYXR+eapuE3BE8B+YUo2U7w2tPcSZNEuL97t/NT0AhBQ4zrdc89Paq9q3yVBJbvUpc1iyUTJD0+qTTMZzdZ51r4CjoB0Zl7Plz639Vj9wkum92Ka1Z3uepLMpjOl+AbSUoFgbc6XpPq33oW8NaRGXK6+4YwCBFDxD8Ve5QpaVhg01e4nq98tKH5HxbVX65a2W9RaN41RbLMmv3orjbSVyapwuflPjBFwOraTiF8DRmRnKU1I4/CkuhlN/QWY4teF++vIlnJicEnOFXBAHC3KDvl19ke6fHF/CcUew6dnSC+I4cEEdsXPpXAin2tI80g5vixfCHcruyYP0X1h3YtWBl1qm6LqlwOHwQrEX0Xc/2uozY6h2TN+j+wocscxTppXTZ1vvqmZpqpTwO1l1doMxoXvRAG/rzekGz1nPdXisdBV7GC0jQRK6ZM0r7Y8pgFPekBsMEHPA80ntpabPsd6VnVV5WhJb7Sa/OBnhKbfO7GeEncDt90+sNszGvM/M1XesN16WIsIKm/BjvRvM8kQY5bZ2twFOxcQVVMKbT3HHgaNsIrx/TXbaLQdI9ocroylT7f6JVed8D7eDFo57DhzSa8Lo46S538N9B6CZnuoHlql7bjwAr6+aMzW1VSpuOwDtNT0wydBcklt1UQp/eGi65NabiqiqNNP8vfXGj0hwt+q44KYD5H3CB4wb79pXNx44hCVgAj1qIlTceeDgu40rmriSW2vOQp8aSUpsjSfZgIQuBCTceODgGSO8DEms5NYYXzaURV1JOO47oHx8+ul+X2pmBMfhmNSBX0mGOw+Izbcqy0Z3MoDjmIEb4DKIufUABlscztfJ7MYDJC1ClKnmL5Jb4dh1SeCKU8j14rj7wGEj7FPdtfR5DN2w0/BS0NJEcitNXxQqvdXfqrgBwRG7BuXZw7kZbkIgj4w8lxlXcBcCSOpgCZ/rucTcieCQskvvZhq0+pJ1J5uWDicJuNyOAMoDwjIU6727Wf2tdLeeidduRgDzBfQ7ZIo3/4W1P2KCH305i8cdCci0VHLFybpk9yQIeQA+ETzfdhDFfQmO3IrjJBvbveQxUGYZXm45Qt2cgFw6kGJVr+vi5gQccAYEADQ/krxaHv8tvLBmX3CHgrikHaVd/he3KBBJVtFmbaojtymISxPPEMkuHkpDuCrCYCqRtA26WQGHEuIIR21m759c7UUNy2GXCvT7oONLEF91BTeRG8XR2X0So0z/lNsWHHWFlsM3DZ8xHHsAUaiivozFjQuO0pEqkeuZcuvOWYoszUw8cuuCwyQRQWOesdy74NB0DqLAXu59rDXkKmE7aXR8tTZ6q+RuwYH0OSDvDgaHak8aSQCVkBu60VGJ9sD3IOMeBgeCnUpgped9DN0qJ15YSeTccBeDEFN3Tj7kyttbaWJ4pAPlr61ym9rx2QmuCgZuOEBh/flyUI3byECA74+CV8mtcRedK/Sj1ti4DccvPTLXq3F2QwN6GEPRB2+qpqehW6BVlBYWlNxKk4WDi+PICeBuBtyDKm4crP4Uhm5k9saQ0HY4H23VqWaB8r07WOa2BjhQcGNRbKdladxGqgtJUPsR27m3wSFhX0X33edw9zegnQx5Y6R52DQYutWb2f19qb7BW5XjiC6sJeVWH0BHS+8kBHWfA9IP1FpmZlTMjQ4OHYW3Ov6s92irT1NoxY0cXnS3g6NYwGz3NCFdjOCgmCEiSc605FafRk9Fzen0vQzf8InHk9elX3DXg0PFM20T9qNFcecD+mwMBcHVFLG49QGpgjEoBMe6R9gIrmrfIeLtYIhbIOBnh3VJ3f0kt/oU1S21Z7XFMoqjSm0Dro4gpzshkEkWcwvPhHz8boUQ8imOlZIuHvdCoC0E3SA/FbFrhN0PQR0vCJ1/L8zvnggqLu/Qc0+lULgpQsgrochR1Q26uCsCXZ/RbXwvEd+tEQgkMHUI7uatrDsZShRaJ9Z2c4SjFq3w3mR43K0RqOgJMECtus9R7o2AIz8z3xRRy0vHl6pQB8nlyI3kMGeifJgKxbg9AnRkEFC0kYcG90cgNbVxxMH430cYyfGdCIIz9a/uRnMNolcSIIuDtW6UIExF95ueVSxukwCjAFUp9SYOu0kCp3p189YZ/d7K6hMPo5NBfhPjOZG5LC1tqW5A1xIlsBtKRQO6Rj0uvQoT6LlRAuckqopj+FU44FYJIcdjT+GWgvPulRByzvj02pGTw50SQr6IGijLR3JrTCgUVq0MlbhRwlHJYIeI6Xuvao1JjV3jDp2xXFMj7QZgQmwcBykLJDzZIqi4WQI7YxHPbEbF3C1B8aqqVoQ5NYzgiNyBE/DBSW59u/iiyzXtbpigZLejsk9tse6YQNsXEXTQefZ+SeO3rPn+RHV4Z5nxW1L9kRSVX8HgjZxHmsTpWODOCaorhubzS4oVt044cAQTUmrH8N/tEwjH4QePDXd6rhq+NY49UPtrV8m/svL4laks3fvd0PqTIh3WndQq39BDkDVDM1uhF3dSEDs0xupU1567mwJUkvivYFqfvpuHAPKqqo3PDzKIa1CaNXK73wI0jmtqv1pUsHKfZSjH7YjyoJrkHod5cJmukvFYd1YQ6VUTuZ7Mu/sqEPwg1Zld3O9sNAffwEfX1THeO3sQqNom6lTtjnN3BWr7KG+lJ5vWg9Ec/kylbWctv/srKF7a6EX4aOzcYEGdPHFdru1iQTdZOCpEmBxQd97N6lN6SxL3nWwGdeLzxmmTHjG3V4CKGVY3vosWnjFd47jK3vP8je6xQC5KVRlns5vZfRYOvArii/zuW1n3A/ClSCvfyqCuEW1cOmbL/BnUhWkioEQsPH9vrQ8hv44x1f0N6jrVw1W9uvy2BnWUYA4MyHYhtpsuUAc1xJ22Rj59Wj5keGfmULvtwumi5RHltb6sEV0XmSekHPM94vhSPI3tvqZdM5zrlGSQcP5iw+6+gE8W4if6lV+84Q4M8nQuGIWv9TSo66SVQdJ30u4Y1InemScVY3Z3YTjKJdIJRtEj92DgRDOIJs8M2roJA7/DtUgKRD7aunMoHuLH1ZgYznU4h8jobflcwzncS5BAwA8uubVWtR9cvnodQ7ke9g5/auAPaWYcR8Mr7CnMWHf8jON6AxjBELPzVtYYJwFULl97f2KldSrb2S26uBlDMhErWGW+Z3djONQ3wED6ZTa72zGEyQ1MRlmhEj+r2zGQil1O9gFvklttSE3oXiWyz+pGDCGnC6eaAy/JrTdE4rRpUBJxdRcGSic4xoGhiuRWWvH0qtiXVKhuxKCmgbAs4TCT3FoPdQ3rTUGZ6kYMcJhSYYWzZUpuleGbqSqH38iN3sAvWOOljrHVjRgOUWX2z7Fu7+vqXgyHwwr4UI0g7iUrTkMHnDit5FOsOCFy2HvkZazuxQAPN+xyajTqW1lxMC1nhHNfzIpPKp0XrUyH/8S68xdkgZa7Jqs7MlC8imHN7mvVDRmAp1X/Nb2u8VssLSpDzv4ueKhuyQCjGoHLutQhr7ofAyWTR32XT9HUMYSDGZ9uXFPH+upODMyBj4MPxwY/wprTTjj27tgd9WmN4uDwhU9IjFX3T6w59dIknJVLe1XdkIG9vKoltxosVjdkUIN1MQjOnBDGchB7TLVaIt+ruiEDpGVso6Rel/t0wzmq88gvjWev+3QjOra4Tj7CSbG1h25tQkTRNEsN6OTzpTpn5PwxmqOWOY5lYJ28z9Wbal4SCda4b3Qsr1BGMIElN5ijY5Pqj7/jhWY8N74hOkOSPiWvlkN0TsVL1Qc0khuKCHFMvttJdUMGaEYmRW/lrkHDuEEcr8J5sPVhjeGSrI+uPW/8DONg0IFOHrgsuRUnlYWu6kL61a0YOCCqzS8DeN/KAI5zu9KQ7Las7sYAx9qkPOVc+2b0NuSTgnC66oWN3tTd/Yjw05PXAA7iDRxDmGM/xepX9RwgaTLvZvWFtqCmP5pxRm+kVjdqCHZaS0O3OLGr9FzcV/fpVr/h06vUM9kCGMCJZIMsR1XhVDdkOEJ1nNFL97AYvdEsbakuKM2D0RsVZToVqGFydTeGwymETr5dzvfqbgyy0jgpk5mhuhXDgUmDGEL25qzuwwDxCo50PddaWHf8nKTpr/4uWXcCaPpmRwoavVGiO8QbNzXsRm+DyEy2/9BbGb3R9Q47CgGs5NaaigRoaR2ArO7GQJFIXIk/LJeNu7obg3JqlSZabkV+dTcGghc4GiA90qwzgBtMeM6Y6lVQ3YpBjSEHTKf1bUkGcGPSwI1deuuLGMBBIcKh6htpzIzewlouAoS9p1E0dIMdf7D9f7lPGLrRhpYGqKqJqu7DQBMc2jx3+pPdNzJygwImvvmioarkVhpOBnGSvD3K4A2XN0xxNf/AWpOmLV7aos9q6AaxhZKlZvNoGL0NlUpkvNyXrDiEInj8wTL5eIM4WkjHOZcWQzJ0BnHqA1nkkZLyRnADusGadDe+lZU/melZa04hIzgwBccbxl9yaw6YZ3+raeWM38gBBLreJWv4Rhch0uabKPKqezGoe7EiRypYru7FgGsebzXB9muq3Y4BBgRIYDmWbMmb5Y0smTZ1rK7uxXDUYxxnW708S9W9GAgKLeXuasTdioFmo9R9tGr6lepuDEeUFORVr5EPv2pPdV2H1uyep6u7MdASXf2VtnoAVbdioBWT+osGvu6SW3UMOwmnuRW5CQOVfzj8w8I1vZIBHLwTlV5e/r31ZjQniRp5e+tMHjmMeeUSPFT3YDg0Wec0PVWnWN2DIf4d81zNu5c/hvEbLmJqVr8cc2M3CCYmhIwlH27wNuGMJZNd4aDq/guHYxywuYrJqboBwyGzoeGar9pn3IABQhTCaWQf600N3XBlc5YoNV/T0G1yeoeQRfXv1S0YjlKV1Ju95ntaY/YkKunOJRqv7sJw4MM9JBGIi766C8NR/CQ2BhIakRu0kaRAe/Ui5qfqNgwUHFDsBRmMVDNoo8ZzqlFFDqkR2wQ3wNRcby/X6k4MZBCHnQvrpfbq1Z0YVAVFaAwEJLm1HmSkVCp47o7kTgyw6fNt8HR4sRi4zZFWvJVb01jdjEFEvDoWTgExd2IIeSUIxiE65dZ99qTrXNou3IlBjMVwVwbg0BgauIX9rbjsam/+HAZulCGQLQPBgeTWnUZdJISupuE1cNPuAnW5CEGrOzHQ7mbCPr5Xfj6jNipboKLf6qpX3YlBfTUaE+mTZkZslO41aDTazYSt7sWgHEG8olQDSm6l1WWINIsb661uxAALP8lvSoWV3Epv0eXiKMlbWWkRBJCpeL2Y1Z0YDrU+TLapUsTqTgwhV1W7YKnk1pt+4K3nRnHfyqoTI6Uet+S0Mlxjb8a6oKLkVlx2ViTu+XsrTtI4WVDTMM4dGci3qSoRXG/9GbEt0WdXpkI+ZViuXGKKLSWeFnct/1gLy3davgR2qKSD+1sZs9GZW12WRAVf3ZZBvZrJbpkidtSAGbPRlYlM+jHTtBmzLSjYm0ikNeGM2eBYoNyY7guSN8sHGd/Qq2q0DNig6oL6djhxq7opgxoBqqGi+zVUN2XILtL6xaWnqO7LEJfkR8INmy9m3ZVcOekTqAE2YIPUGxqH7+5XBmywHHDWoX7jPsKYjZIRzkJV72TEFhYMGszGAf++rkEbqIXS8Coe4epmDAcyIqIYIGw/w8oTG4CY0KWN1S0ZcJBgqVQYJ7k1bwrDqCW65NY8plRVtzX7KdyS4axOv5gpNwZy47alrXeUZHOv7sdAfLhRkTNEzl3dj+HcdCjScDV7jNgIg8p99r3lZtC2lKTYWKP5aCs+xGpOHC9vZa0HdRJkyR5/coM2SsKoaioq8anuyEAGDNVcHDbz0dZ64D6HPeWmo1d3ZCDeR8SfhMopuRUP1VBdBYb3T6w7BPp4YfDx60HuygANL20llnqF3EtWX7wThHGlprsyqOCEyUl4XXKrjxFUo7J8uFVfdLebxDzzfa36kndmbrMXVPdlOMlFSzzypgxWt2Y4VAtzZAa9+pIHIF6MA0GVGXBnBjqqkslFBUOT3Jrz2E7ro3xfo7dstkr1s3cF92U45JfRSO+o00h1Xwb+CccU+D7lVh2ak6NDuMTWHFACA0miBrdlCHlmkEBsfHUzfGPZTJLw1Hi9ui1DyGt6F3vTmxq+4ZuBWeUTo211WwZiqZUc5imKs+q2DLQYg/UId4M0MHyjnR4Osy83KfdkIGJHbwiyQ/L+y/LKsZfNWaoZu236ksWSheJB8mP5VL/ytfOjGbvRVIu3rCoxr+7JoCDx5Iza8wsYu+2StYNhKPSexm4QybMxbhF+VzdkwANPDQZ9o/T+Bm4kRhCE6/Imuh8DHNe9qGnGpZSp7sdAhgmgfn35B9a3qi5qJhtpdR+Go5ZhNNsSM1F1H4ajVliHgCpRo+o+DCQ4qZHl2JfvqroVw1EHIxXbVq8fozZ68jT1y+le70Ztu+GHW/Js3Tlm4Aaq4pAQxllja+BGp4MG9nBrk+pWDIdeGFSGZPu26j4MdMJV8hdpRv4Tj0AT4xtUDncPcjcG+EBpgAQthl7A+A36eSKWZJNI7hHoUKqF3fvZAuM30tVJy58qCa/uwwBBOv23Tp4I3YaBXTEAFCxTK39u1cV5TGfC/IzGbrD7KkOs5bIwdqMomXK4ljuGOzCQb/+pcXqdkhu44Z3HpzZm2iADN5wn5JBMRXar2y8c6CVJX69fTn+jNrwRixC60nermy+EHKSMTy2nlSEbdmmwu3xby9SYDT444hLfyOVrwMbyAdxC1CK59aVhdewTa+VWYLRGnhJpE3hdkRuqbQWFKWMTwnHnBdIL4dqL6bQ9l43WyPSAIzxLqqs7L9Cz+ZAIv/I44c4LB7oVpSHMtMWGahwj1lGrcH0C47StflMcAe59rDLOnzBnPTd5N1ygd4NgJe4wya3yzoYhr6tCdcMFDDSViixk/YlBGuXiQ0ml01obqcEJIwa1dLW428JRnx3INMbx5mSkpgJZ2mfX/AvrzW6qXP6VL2W9jwLo0PFLfNWm6r71pCiQfFtO+4UG5ml+8PElemnBC5p7ihEatU40lC7pEXazhUPhD3a3rW61DdKOctbUG91oxDjtiHUKB5TCh265wBwYsFXAgyD5sJxOWguXvAbdII2AgpiadypuhEaKMvCf+SC5FSfhaZHRkuNnhHaqGpXMrq6a/Im7LhxyY0mDoR2v5FY8Bii2dmbokNxaV/yWotPsklvlmNQi1RLtZ3XXBRJA4SkLw1eGH22t8XipzqRJbKXBLdT8fI5Cuu/CUR7RBxXJzpey3uIK5Q9v0+DqvgtxCXogMQgjNjQjmbpBY/XdxJvqtgvgLAVOW5WdcNuFQ6x9qBPnG0TDs6NeFySw9ryVle+ymZR65++tucKTtCkVzHTPBZKdQQFUJ3Y/wqrDNY9LRMzC1T0XSPImJwnmiSW59Yb2gsJKlWdUN1w46e2PQ6j6c1d3W4DhvgoUOzxf3XDhyCG8VAerMTQ+w2dKegVHV/+JFZ+sMRqupeKGaGHumKNUPFX/iXWfbJrUD+58ihUnYaGKElgKGqVxkqQKO0ycJ5aBGmd2ePezp3h1wwVCjcw+fPn6vYEaSFaVyd3nCndbOEr7n3AJlLyVdV/qzaEOB1cRwzUgM2TFnDx8yeorJvL1bNhZ3XOBQm18Rvgzql/A6kPW/lX4IfS9DNqO2M+3apv8FKsvAkC6Ncn77LYLpH6qyI7aA8mt/hE/E2X6+XvrfrJTI+0XJbfuBxtN1UzOdsO1owjTJINaYiuND0FFMF8+1krzPlXhba+nhGrqzQiXa+bA3UvblzhozFVEwlRvvwXkxABVXKGnJ04rutMQqXMOUuI05At7CmiR0onTkMuX1NZKLRKkYSPwA6m83wYjcRr/AgNPhYUkH5Y3PCc0afP6SKzGJdjmOajcrKh6ey6Iy7/SLfxzOl69bRe4pHODYuCSW3eCodg28ZrW23OhaKjYt+DwlNy6UxoAALj3n9adVoIQ5Kkiod6eC0WjKhfnzledVpyiKtipX77IbboAsQw1G+qVko+24iRl0OFVlOP1Nl1A3mQ0biT1Nl3IdkCQJXHm9yOsNSGFLUMjrZe1hvt00LjtpNxas3cUEWZcv83tu8AlaiiKWqVIbsUJWSislytjWXFI53Blz/toay0ikFhKbjdcb98FLqmQdqkPfL09F0IcmIqqXlIO7kRYVn0olXZ/5y2CZdXhkYUnZGmfv20XkMNtQMck4cDbdgE58VNRX6Xceg9K1+CaTuu2rTd06yp9zSW7rTfJLpmIkHLrTX8C+Ba+me9jpSGGxsuUeOe2Wigqu8QDEmtQE3lbZQ5uYb5Gz81pW9+VqWgxoSQ/1heGVupCxrObxypDNEFOTZqDY41xKkER8CVMOdaY1wFWpP/o9lhATp6pMgiOn2Cl6TW6yMG5L2Wl1ZZXvXo1OY6VpvMVZZPXkh8rvaeadB4l89fbYAH5AgnXHLvbYAHx6aoQrbdRbr0NFgjR06slgNm0P/w2WOCSfMKanJJb7yP/DVw0W3LrzWIkkDhH/t5K492Z+F8u4329DRaUIDAx21vM9vU2WKDVLnW7yRAu+ba8qpngyf3itlZATpYEZfvKTbm9FZDfzi95WLq9FZDHrorXdeuQc3srINdhmBvpfcpVmQb0Dab/LefqbayAvNH4jsYWef9hObEmWOe91d/eCmKLwm+1FJW5l6w11aFCkSXl1pocTdwt9WpnrQmqHDFxaJSqtVaL3UZq2EUTt71CUeLFWnL65p9YcQiFccG5lqje9gpcolsmNMh2g98OC/TtYdl3ilI1XNXqtyJqOtoQ3y9erX5TM3FRnkhu3UmhJ7NpyK192yuoNRBUF2Ri5++te6PDjWIzfqtm9WMGN6UKOO3pdljgEnUH4orQCzerTz8B0uXyEHQ7LCBXEweKxfRWzYqLV5D+nDKOt8OCeAQwL2qVK7m1jvMxbdFn+kFuhwUVqLIPUlHvpdGs+CD1fRFW8zxp1p2GBZSH5F90602iYKdYQQHL210BOQ51PKk5rbqV5u3xw4+ecisNm4XKK+wgvg0WioI3kHW1PLHdBgvIuU9TNrnk1nsuZgf9YzRzDdagZdJ5ZW2Nk5EaBYl4iMkll9waQ0Rd5On2YBisUR9CJJqsH8mt9VLbXjVLkdxa489pVBr63NeN1yjsGXl21gAarBFBJbGmfLcAtnbjNVK455bzVC9ssEYtrjpN1iXDYKRWsskHpTAaEMM0NYOf+CHv7604bGHyEl+SwNqN1JgzSkOuzhPuBmtK51dHAHl/u8EaFSGwgdRlh2I3XisqfyAVoHtYDNnIc4c1h/Ipya37waPZoP/UcBmvkdFLAthxz57aDdmYOWIudvOz2o3a8PVOCMUyibEbsqmx7qEmO2evIRvuCdHEZcJHN2SratROBMEulm7Ihj+/iMlN0KwbspHXUNUcsaW8W07aKNWNaSwN2YjaqkmHu+rWbshGiJCU6zHzOxqzEZBaRX1kbF+N2TibQHo8RFJTuwGbSAo3vbj0c+M1nLq4iUjsktx6V3Lhm/K27hMM2XBlUStT09XQDdnwnwz6tJ38gIZsVZ3jaZmuk3g3ZONYiMe1ikysdkM2Ths0Ufv6vY+VhgR5q+u7V61RG+iqdbWQ1Nc2amNLp/jiiPe9dqM2NpAJP+1wZLcbtWG4WDqw0klurWM50NhdTXXz6UZuNdGQbLLkVpyjBIDS3TdqN3LjdDAIFZT7J9Z9VNXkxdLR1zNyA1Hhzq5qgFa7kRspgJTW75VG2sgNJ19g3S+ph+owdOOhgOpr7IdxG/2IaOWVnVLrMGhTJg89PNz2rQ7jtkrlv4ozZCmHcVtVxdZWXY//xFpDrb3o0rGOL1lxKCHwgox8L+u9xJLAJ0m59RbtPGWhJ/Wz3nglYRw4Qr7DyI1kf5ibdyakDiM3dWmAVGXeznl1GLzRXYiZK/d4jpbxG0F8+g5Rwy+5VcfFSYg504WG8RtpKNQ1TNVg1mHwBvsGmTYkA0turaEt5enlPtdaHxH+Uvr3XsmKU+9NFVC6OIbBW8U9RI7UfYSRWz2iX1Zs8ypu8FaJ9dKGreadrLTYHLCQ2pSHURvpt4Md6yXvDwO3Jnxd1KC+DmM2hdRYPeIHrcOYjfN6J+0jB9WQrX20f1s6+0t+LD+iraOy92pgyBamBv5f+EJ0K+O1piLD2MG38PswXmvK28e7n7PMeE2FzAvHu8Kkw3hNvQApiDpySw3jNXydJFa37byMYcjWdFximdnID6M2JhlVBve0NgzZQgFO7BzZNWuM1xqmOXah1fKtDNgahKXQ3mfcbxiw0eSMQwCRw/tWxmwN6hx1snKu3jBsI9+G+BiEL/eFDdtaU9HhKhnOG4ZtTYsFtKd6lGHYFsYG3if6jKTcisPoQ36aSuPqMGwTZ24j/bK8t7LusJmzOR1FxIZhG9OYtNMihDKM2tSgDAbnu5CM2mj2dWBmy+SLYcjWqIlgx949f2+NyeKkSLI5A2sYssHSXCiizuKcYciG14jgYFE/wToM2RqhA/YQNQCow5At7ow1JfvLa9uoTRXQqaKUNmRrbFPQap0v5daayie8nJlCMozXaMBNeSg92yW31lM0vzRAzPtYaxJpSYY5zZbcYI2WouoWX+6trDWFg0zEWfNW1noNEfFBk3+1M1LDz4lHGiMsubUOm8V/K3MXhpEarRaUHCHCjTqM1CBYIjICh899WyM1zgAVnP6lXTZS00Zfha9s/Q3WGkknasjb8ylWHFrWTqVPzmUjtQb3E8QOItKuw0iNcxXh6nXKeysrftTTgbHNP7HiENrA8H6XkaFaUzwbcixB2mGoRqorRYrsoJJXy6tqJGrWeg3jNNoEqNP5yq3COI2DHgQVW/2C6zBO66T/4gkbVz4tP2J+wRJLflXO6hka1DuOM4zTehEZGZF+fVPjNApkYsXPoVaxdRinQe2EA+h6oIZBGuyaMMCJYjsfYZzWqbdmtu3cLgzS5B4klqGQ/zBG63JaU0/wZo0xGhzIBAE5kdw5a5gmkh1iu1+aIcO0XjXBw2zm3DRM6zSoHliRno+w3g3mG9hdjeOnkVo8dfJeW6yDdRqpdXJIkjJbYqvdtJf3maf1aZQWyEldtr/cFKZRmspUJ10JVt7HSkMzTnHlO1JNQzTNetKOa8lHWOmOD5dpe/JWVppmCtA3ZOLbNEbrhKzYRDPdchqjhbKQvghq3kcbptFkN2uS5SOcxmgdc6l8/8slWacxGs1tlWQ27KSchmmdMpw+VcMruXWnFTk5gZ894dNIrVOfRInt84RPg7VOTyORp+73II8AE1ot6G5hf53Ga5SgwrijerO8ZMgGhQQdXOBekdyDQNwZgDGF0afxGhRnBfz9adOaBmwxYDSamWqSlu9szCYCoHUy2f9e8iDQ8wiilrTs06gNCEnS9hLZcJ1GbZ2bbNHqaZ4atok/vSmkqIln2EbqEEljUNYhN2YjJZDsjP57W8O2TnduWAWG3DjTsA1/zCDfNEuhp2EbvIIkzkM071tZccpJyc3N3IFp5AbCY3XKOZCfw8gNbhDcFWPl+1pvsvD4r9x2B3UauA1F/OAsn/m+x3KOwpxUBdymgRuf7qi3u06v08CN+AetG1u696dR21BGCGhVXoFpyDZEg8CkLZ5ThmwDnPBl4OsOiVHbSE5L6Hb1YY3acKCWImwq8bJ4dhVkfLf7Wp3GbUPNXtq5+fPToI1AOzCVyqf7J8Ztg8xYAvjNibvT2I2+DFMxdtnYaezGh4IVqGZcYBq7DT734Dsq1DiN3QYpvsSXv2fRjN0CENCPEM9X8yVr33CrTvF4+8U8ArS1JyC45d+ZRnCcPNV5UIR3dRq+EW6hE2TNBPpp+EZ6BL31GDjJrXiHOna1OowEpxEcXBEQbH9qlVenEdyAHoEAZcsZZwSn45paluZMMXwbXalSJCdZOyM44CyZELcMYBrBBaZWbjDlmJJb61CPw9B81TbTCC4WwWDP7arImwZwTLWilrC5VRnAjSHWXkJd+XsrPdXzD1wh5YzehgJvvc3U2chtoDGTut6fW2e6FNC172H4afBGOdCh805WDEyDt0G+3hE1nxQzclPRvUiM8kWt72piuzjFoY1p7EbqffyLjmd6KWM3GBII8bWVW5GxGxBd1LczTYKx24D5gze9S8zYjR1tpgNFpsXYjU69nQLW7nLfafhGySmFRyd3E6M3KBNUU9bvk60zTr8Kt5eLS6fRGxzem+z+rLOZRm/sYLEBMTn1CKO3AdNBsodpuA3dxhHBHul6+XsrjaNM1CAr73+Vxu6KqjQTJaaB25Qzu4hUSPJpeVOD1C/xi0EbhQAQlO+74xm0TdL8FfvZ+ftjuRrpEE3k98uILawu4WEizl3yYjn2jlOo1vkyZJswSBIq6t7xllHbVNCkilxBcmtc1NaR6EjeyhrjVKepW9cRYBmyMcqBU8WqKrlVVukMtPYrf2+VcSh14oOaFMuQbTIq9EJsrrZbRm0TciJKidXbpy5DNioowQpNfGR1GbJNeYNxbtwmhXUZspFlH5vGl8T5dRmvTXJpPwppHfFdhmyTpnXQpGWEZxmvzaZOMO2om2tdBmuTbH4Rqbt8ZRms0cgR0pVAGfkn1h28Ct1iFmgvw7RJjPg0ZdFJbsXJFWYbaO+zGqlNYsFqxGSzuwzWkgGLurB8upFabG84ysAgHi4jtSlDupNNqi4DNQAnfhAx/NznW3uIRmErzhWwjNViPKD5LnlkWoZq6vBTlVd5QdEyWoN3B3bimekfy1CNzBaiH3BU3IcbrU0lxLJdCmcsozW4WJpi+t/7Eyu/KBnuMERLRaO1iU8utkliT5Jb9UVpGZWNt8FuXYZrlCkLGmRAeBmrTRIcJgXBXz7CuqtzDR0ulHy6jNVwCE4OmJkfsozVqEJZ0HZ/Slxaxmr4UZe48XLxG6tNTSgmr7DrMlATPyLk52rXXpdRmlwIo5dszVqXURp5orjiIYiQ3PryY7wP6ZZaxmg0mobtWWnX+U0N06aylvEMtItol2Ea5Ql0bl3ayZchmo4wZPWOVM4QjSw13LWj5PcxRFsYkoq3xTHGZZQWJkiljJQK+NLwpbPj6ZDU6VMYopFLxBFufjmhjM/UEY+pkcW5y/iMgkWapARGshkxRFtFJGs0WtQsMERbkIMWPLfHo2WUtqrIWzItehmgiTxgMYr6qsZnsG/ToqH3/BrGZzTBIUP3m/c2VpnFroa1aXMMzqhIJMc7dgG9v8EZ2zIscqRpXNWMz8AkA89fhsCWwRnLYTI9xvLXNkBbhOtoBZpfz/hMFCfwzB0j/2WIxkmzqLtofiJDtAXbnDL6nvUyTKPwMEzhvjQ9yzANvrIF+VhWxi9jtMXOkxmf0sMYjdqc22VZQ2WMBpsQLs02qofEOC3mI/2ElZB238o4jTbLGKrPzcvrMlSL+aU+3f3kSjNUW+oJC0N97rGGamyXFT51tYury1CNtowDCJnR9GWotsABZI322/C0LkM1NqxDM4eau5yxGoalqLPZeH9i9akLOuIGyLe17ktcdKRQaBiN1ZYyGSHC3PeUtAzXFvuJ0oNyMhquqV/cCIO6Pm8PRmyLztbsWFmyt4zY6FMST6YKNuXWfeMGIolKh45lxEYhS0xG8ijz/lZ80++X3f3LV7XWkHSQFFSc3L2M2qhEI+/jSwfgNmoLNWMq0t9OuTfbqG0po1+x9Cm5tT7qXAL/Yd7HKpPaDXaQ0dlGbExaErqyW3LdRmysb3iERpbxbyO2rfZJNG2591mW4+sisVuHo23Etj+122DvLpIfy3GxiFJYcsO1rSzUrUb0OULbiC2590kG0kfYRmz0GY5DBP6y/H2zfCTQSeu/DdeA6YuM3Xeq3oZrMCbQBIrGvpJba9hRJqBC3vZtuLaptIGsIMmjtrHaFjIO41HPe4QVr6rD/X+mzi3ZVtwIonPxtz826D3/iZmVpXWuwx1uuzgbKBBSqh6ZlKbmroRrO+28EDkEAGzh2kZDIgRAV+To3cK1qNBOGvxOnUrHWyse1drQb7Eam2PYFCDtus9WrMa1U1K9LmPmu8Vrm0W6ozqWbNoWrKGsSgrw90fHtMVr6Nosijyf39+FdL+TM2TGqGEuYCPxjswxC0Xsul9V2B+SS5hui9aYH5ib/lWObwEbVZwT+rpev9B7AMcOAVD9ua4THUjzYhJhW7AGNQOFcKeaBbdIbcM7T9T5lYpuC9Yi0AtX0F51CZ2eJBdnZvZ7s+K1D5uQSp9vESRs8dqmnoEOnETXt3BtV69Bg3Uqdn0mwIyQk6IF7xax8c2EPXK4mmxBG+n976tat6BxC9pC9j3Jzxlt3OK2HSmn76OqpPkWtzFXoN6xen3PgrYQmaPFk8z1FrBFj/oJcWzMek1XCF2XU5KJLWbbaTbs0e2JXc/Z53bCfdnEbwHbZgtD7uw17L0FbNEmQL/t/fukxGxUDiPlu/7657ewDYHJATF8OL3fLWwj1UxU8xQR5haz0WrBkkhb+L0BYdtJ2dZK50Psj/YQJ3gmQdtJWIX6npoaRG18RpBEjfudi9poUedjP9kCbEHbCUk1wbp66II2VIAgZvlQ9fZGl4cGz5V6lzwLQRs18fTLE36NXZ/pIJ8RZ9BnQRtSHI11oJLEW9RGd933zPhw8iyEbGAJ8jkMh9h1Gki6osBSf6/TrF1waFfUbovX+EizsLe/aUrIBrf5ZElu5o+3qA1ab2IDszoktqgNEmskI6lTj13H6bQgR/cGUGzxGhWiP2q2qm1iC9a+pepHpSOFUfeuxGsnBSCbZa1OpeO0pVNbWlUKW7xGbR7Ked8PHLJCNmjF0tlYdHZbvIbuAYXM/1o2t5CNPgEYD3iA95kI2QAWVEDeatUtZDsJr0YvNTcsZKO7PhqrW76wLWQ74/IHtaH7orYDUwNZoV1PWMh2sitimSwcJGSDtAlmjRbxyXcL2ViUWawoILmOiNoSs4fm/a01RdR2or0IEBOdbYHbB55om+ooucSu7/CQkEt67Sc4AjeaFQYkU390LkfsVswTk6TpiF3fd9jVAI87dn1HTTUtkVa5HfEbKBoQcYr974jfDpgOrvf9+/uJ7n8fADvit9Uv9J4+FKJCj7neI4ijtDX5i1VmnWcAk78cmR2OGO5AOTBTZtpj123KXRlZ0bx5jwAubW5I27QM0yuJ8KQDbVJjSkfkqUt0D5FmIxw76xJDe2dvnXRA7FM7MHRSGzFjX9o3NWcwzuVhXABXLRmJrzQfxgVwHEgr3XezufQFcKnRX8DQara/ggiRZeIzg0HqTq9XE4FDbLYSOnOIvPoO+zwh05WSvCuLEO0IWLchr8gDeXU8WOzbh7VVV9dxqgLD6HCV+96rjPCkpjGS7bVru7IIUeALEzkBXu9K31uWnN+ujN8VR8D+JqvBRvNepek+2UTqll4ze1cigUP00sJSFPx6JRKeKpVBrrwKb69EAlTWFOunZThPvul7iNnQ7xivl9B9uCkoX6zt5JVIeJJj/xDTZkTFru+oqLCiV7vX1Ud4koCFpua2pV6FhCdZSHjhmK9j12sor2gqCEy76giYUYpddIjXafSYbj+iUS0NAlcX4UlWY8Nu2hP3uaIIVKWB3Topd7/urscEsOAta/fSeky5AURkmT6vIALmlB2dW5dx1RCeBAxBbr+q0bpSCHTyUB+5kx28z3roM12IVFxVy/3VQXgq+kJl1Ujv5dVBwM4qQLwm3INXB+HJ7nxMqtbqQxo6HUUiKsLdvlwdhIeN2yzVC6uYrg7Ck10PDQkFO64GwlPbgV7sQ/qh6yDNaGAmyXBlEJ5AyqxCSzrXK4PwPNG0XEB/sd6VQXgCQGicnMX7eWUQnizORPz6qDPpPJ1PEI7e73jqPFFMqiWO0ZcrhPA8aWqESKrm84vdnpSKUyF0yvOL3fJNtHRyZl9zFRCejJwWmfga+he45eEC41CFjf36nEmY99Esh7kiCBxiGaPu5m+QXPhGtcBGs50qguvHRXBPel7TvVZz90Vwz3O3TuSjYtdvpsjvW1q1R7oiCOwqHl7DSc/OlUDA2ijsTZdI7LpNLfIH9rb6fO+VQODQymQI337sev4G248/Jar36h/gHeB+Rowmdt1uRGiIFNn2eiUQONSRbFjk7GPX7cZagjBwc4RuPW90GKFxWtPw1vOeSo1Fg4I/0X0KySiLaM/f2XwCVDXDzn9quj26jzIDMGyarbhaCBza4Qxb8/075BMoshYo1TLsjk8AbnxYOe8wPbofgSwKMO2QvnoIHKJ7YBQL4pVCyChB/4FiMp08+j+gdf12wUcOpSuH8CDUYQVrXUPngRGLajkyme3KITxpW4SxcieH3q4cAnYK9WESuBixXUUEDhHCmxQovbHreeKPhIdvV3W7oghPtt5RkWJkt6uJgLmnr2DbUtSuJkK+BRpbaFUeHtL7lR5BeGzLruvE5iJod1kN21VG4BCt7WS478NvVxyBQ52sEhoL8/7q8RmU5A46FjN2H0B0A0aWq9h9AEzXSBymQKL9BHGITFEvv6OD0X6COIqAW55kPUhBHHxdUe6+d6rfEWV+SG0371TXiXqwY1i3w6X9hHHUEELYRIDyui6Sg8L/Sd3Y4wkFc/DAf/sGXlhuWSQH5V6UztrJcBHGpYxsUOLc6zzXddiLAR/fIMubF8aFJyR1HXcEt59IDvoLirW/LVhdemlHcIPS/Vtr2n4iOZgax4Jj7+7A2k8kF4YIPqTwC7WfSA6uuEP18m/5WERyb8o9IzZWP9F3kmy05oz6c10nlAYYTpKt/URxEOXAybbu2fWcDgSYd1uZ9Zpt9QrrSV1Urzl3KFHvzehyC0qA0CJjUwBHMzm9QGywsAvgyN7CQvWkJbv9BHBUV32rBfqkuR8RHD2PYAmaC2PXW1QBNh/GW+fXWyr3esTHfaGCOPpyxhO+IQenII4yNaLmLYTo7SeIoxOA0RFug/sTHScuQBKPfG37ieOoSUbyvqehuP3EceQziB+FoKnOJI5j9qbEgqLSOwSEctTM8XV/X1TuSyhHTmpReb7//cQHMMPM3yvx0H6iOYo9UuO77p62/URz1AqsJ9ePL0I5ssoRRGo1ZsVyKZ2HeiSJ1vYTyJHTmpTc/5pjWSz3prv7u+VnecNiOeLo0Ny0louL44jBTurSbRNuP6EcEwwBwFPfuFAO5AC1EhIXXkPnCSqn3aXHE6FcmEaJ9TFa70V0/kpUPaFlaD/h3Fs9NVDK1v3qPMyXpEt29+oiOhZM9BeO9aftJ6hjsiWy13YNbxEdHySfdri02080x+tkv9SyjWo/oVyjsBe2q9mceERzLYEsSqjyvQnmGqAmkmiPL0Q8R1cUBQujb6djQR15NLjs5q6VRVBHKw9A6Ozuuiaoo6VmgP6p8b2HdP417Hg3GO0nrkPwlwKDnf1f+4nrqMnLc14tL1JQ11hTH3gkXx+xuK4Rhxtg1F2n8glwjwdFhZqhBHUt/UrRfqrz6HurlksEBH41xYroWqOs8g2xHXYRHe+PGPNSyK39RHQwVDekhUamTdFco8mAcoUzy67fyc9R0Dr8tAR09AFRh/kkMdl+ojkkBtm67fDatJ94LnUb6S++TN/tJ55r4eDa6//giXiu0SDfaBrJJy+cQzoEMjSKtuoXj4iuhcM87bwzdj2fv9CoLcV+2yOiS2NTEgK3K6g9gjqEttnDtOidtEdE16gfCvdqRuQjpGvQgbDoT7aB7RHPhXi4JYxY59f1RZaS4oZVt6TfiFWFgaCc0G9EEjs83yQi2yOKa+mOo6TrMp22RxTXVoiux4o+UXtEcSicleDor/5ejyErm6Hgi2eiOEokaMUe9zQ6vKHUpHSw504FcfCI0Tlyzt8bEsgh20fn9vep5xmJ4qgwgzivyyHSHlEcMDxhqd/xDYniGOYrOZj8QgTXTq6SVeSeTBAH5cFOxdyVtWyPOK5HBBM2dLIU7RHH9UiPs/rnjoVxdFVHNHC6uj7CuF6XoHM+A0cY19OqT6iIbXl7xHAs9QTSUQuO/WjvED3PrGJ1CTEc5D27kfbLL8RvHR3plW9/+gs9j4ojMbzMPY8YjhcbhbJew0oMh5AgDUunpsNHEJe+o0VZYw1PUVzHBxDNmGXXaSBECGJHnV+nKS6nU+7fSxLIIZIHwKN5o6a9RyxHqSqsDic9bu0Ry3VUlJAE7fXIxXJoZ6JxtFsNUbEcJ+nUy703utYe4RzTXsIREVNrj1iOvGSREa2y6zhN/yQ0o4vRHoFc4lhwjqYFoz2iuE588Jeq3rquXjPd0U31fbT33Ynkom733S78Gx7S8UF2N2VOubowjokupMVn66BIDrZYxFR2mvjaI4xjt93I6M9dl9DxmR6EnsD7PZW+f7PgBpqForU9wjiEaCKKtHqdSt/T/UnpQvNbFsl1Jink5Fb2GI8wjj6hQ5iy1+sQw1Wm7IQJ896VOK4DCtAGScNZewRxNI3AjfIk6NweURyBEXrIW70oEVwyQRTRvi6ljyCukwMlwpxa9/aI4Pou9vvHqFh7BHF0BIUkbmxfrziuCs5BVIKSRxwXLaEW3jnnRXEcdaGfk1UZXScUypGmQ3uwKj7bI5YbCa6/Ua6MvWsna5yO0u1Vhoe+fRb9wvvKmLdHPId03KJz8NQ3J5gbpWUVorTY7xMY3z89OaAn404kNxAJbPSh5PSiuBT1IPaW5tv2COEI2vzCnfw38QrhqBw/EAXfkS2EA4oRRTzPkzsSwlWHMvygl/S6PUI4eAYGfXXtNjK1RxQ3KJWlNfqtmVQUx8yeqq+nZkBRHAPuTd9X4PsjhGPKSLlfAa9HCDfQFCdlv7fvXAhHIA02NJSzY9fxhqLh8IsWwoUTAfniXz1x8dugs3PQ4dcccEK4z2vawyny8rMSxY0ePbAOGL8PXhRHz0SP8Gw2D48QDv5KOn17L4gjhhsJ4U3EOLixVwBHt05CVb9bndteMRyV5qSt378Q0CuGQ4SNAu2W8qX2CuAGKeMewPb3E58A5Tq/hARb7LpPqgSJh7brxvR9hlAYIuK6Kx2HUgoKwEjGtlcMl0IrypT2b+iIvi+gxz6vtRjtFcrRrXCo4bDjq71CuUEKjaZM9bjbK5obkRQ4xMjKrvthoAfY/z1MAR1VugTslnrT7RXUsZRBKfWkvre9grqxq5gOuWB/4kMg/T27AZxXUDfAf8Sq+/17nwAtADQ5J4b4iuYgTXmQ5P1RJtxe4dw4+UKB3HknYrkwq6ciPNGyVyAHPyIhmOet5yGQI0ZASGlHV629Irl52+kgD4p9ak9Bai914vYK48g7DMq5jhPQK5KjiYGyUEo6PXQ8RLYQTd6Av1ckRy0ECOWtufoVyqFoAcN0P83BK5SbLC8Q/Kfgvr1CucmOE46I3yU0b69ojm4b6oBnykTaK5qjI5C9J0K7/kT36RSg5it6lu0V0BGbRocosfB7Y7oPKqL57n49ArqJgM33iZRyXXtFc2hX7J3GW8eUgO4bB7SIhBDMQ7oPawHKq/UpCumSRzg9PHmx6zo8Hp2yrunrEtLNiiKSA/CBieq+50QSYvZ9z6b334XPE5GkuCiqS43fBiXNOo+uR+D0QKhwJ/NXVAdTVSgkKtL2CunQFZuQRvX6nIR0M7lU2JnrEuK5SbMcEGZnN/6K56AmosL7g1R56uK5CbVd8iEzL1YwR70mneKtpkSx3KQDcUN79dbp9XiRiCV95ab6FctNegC59JNQ+SuWgwyHbonZciah3ATKfV5ECLW9wrgZGWbiFVk3X2EcJD+pw/rbsr8iubnD8wJSdsoTzU2KOqE6KFTyCuXmhhUJJbKa74RykfSG3l8W8vYK5eYJd9x3z8/ykJ7Ts9ijvXRh9yuUg96Jsj1o7u+vhHIRiN7o6NW9ieM4BSl9ik5jb9rRukJ2rJ6YOG5RJhHKi5opBXE0vbQqq67rTu3IIKMomY3nK4LL5P+tzS1dcO0Vwa2E8Ef0jGI/2mmkoOBT0PCK4hbfykgpjV4L5BYuoxuUBq72iuIQSUkTwPpbIAVysA5tws29PgGB3HoTZg/vV+w6XvVDCDjUpXWc5G1U5gsxCOFK7AL2+frqhXArhUi4npzQK4SLoNapFhbsQjiquKCIYK6KXZcbdbep0Mh9it9SPsFw/t1q3PaK4RaEHvCOpoKmvWI4CM5WsZ87rYnhMjSok7T0rr1iOAq5QTiwLXshfR/RNSCJ6dAVxrH5ACOR5vKQTwC9HCgaftkENJHcIsqL+ESYIloTxi1qFUZCRzt2n8BEaJC2nrfOo/szfAWTYvPYdR8hRwr5o5/emgAOvo/EM3ddVr9pUoty6qVKaE0It2hZZddXILkJ4WhHgSXiafuO3CaEo2fuR8FMIYMmfiMPRznGY4l9a+I3+ilO6gFH2fUbWYZfmAfKrt+b+yU8kk+5idz4LFr0fXv9vX5Dav8BXVSPY9fxjUpQpDLrVvWaAlSIeMftQm1N2BbSo+ROTl1ar2G1QY5o5uNr4jY4HRkfRdfRmriN1WFHHTO5nCZuo66AafH93b9v2uER7Kkyi71rn1CkUy53I0VN6LbTqJs4WczX6R0Cr4fesjrT0k6fEgg781oTtu3S/0X/sk5/tNM1jWJw5scmZiObPXl2ihu0JmyjOpgywJ72u9bEbDTHf6vxm/rPet7Cth0mNRRR/l6FsG3T8N8JUO+/C+k65cH01bb6YIRtaRxL7+itk2pN5EYggUb577PJ4xK2sdXjrdA2E7vuf0vpWun+8AsQuZG8bxSgHSMGTeSGuikihDQl+CsfAkE/WmNDntua0G0TlEGCsBtpaaK3bylPtJq0dOy6D1ECJTX7Uim0JnRjM0af8x+JT1NSgSVtwJP7vDW0RW97ZEOYGFvsPgHIEVLDlq2BegqfnboYWBENPimpkMIJUkXrd/sgm6oKD01HFAq/KQVRVCH8qvBOQI7sL/SeMiqYkdN32hRVYMUmjTXgf/Aner9ouKdZvl6yMG4vuG2oYX7+fqL3ny8oRZ1hYk5RBUh8iRRAmJkHI5JDIbWl6PNvPhXNIWcB8c9IHW5TVwF6hhHd81ArNHUVPjuMt9+cuWsyFcvt8EzCdfQ2L6H7h4g4/Fv3rvQd7jAkcmPU8ROm/v22mjFFceEGXawJp06iy5Sg802Muh/x2wlbAQQUwy9Y/EaioVXdTi4tfjuhdyHRHOisogLLfADyrJ2oigoP5COs59QgXpeFcAhPtR6mwu7Vp4eI3hU5ZuxL+0gr96RH6/5ke4j2CugMWl3laI/eGpGLDFFRHKSv8JiNNZ0JRHGHxFrURq1NUVjhSYiDFbfvv0M+ARrv+Ijy6IVxxFJ6SE13/bXOs/fdIY6ua+v5N02kO6Kt+ns9h8aYZGT2GQorhHgQoj96APRCxzvMBON77zUFCuRQl+hk+Ov2xXGHoD9Sc7WYC+NogaLWr0UdNBcQxoW5m7SQYtFNdYWHHnUCrE+qMpvSCs9JrzixYMPCqit8h0bIK0YFNFVXoHqKGtlFr64/0fkPfjCB9PP+HdL5SYSUnH0CkYosMApntLv/wsKKLDyIX//CcWJhiyIL3yGa6n4w5b+x+wRIRVCsRdfJrw75BBbbJRpOW53KJ8B2Gt7KkSejyAKRLmKYaNau2HV/7eLPOleFtKmz8IBR4Omaqads6ix8djjzF5sUvnZ1FvgOYAIMoVTsOv7NVlSIlRhZU2cBFbJFjPJXNTDqLDyZTGgi/bkYKbWQmiA0kNPBcw/pOFyoNA6/WfWUWqBKNWJX4y8nr9QCU1KmjRn+gKbUArCBmnW2Hb6pC+je6M1AKqV0VVNwAf3KDqE9XBn3VxfWvVEPIcJUc4SCCy8pdNhweXSxt2sHIZKJqg22UgsvzRRsxglEeInhIUAarIt/93yhXUk0E5aq4IhqCy+EgdXvnVlbtQWgDkW1zPJ/Puo+QgOJG2fTqNrCG1rpb3jtqnZTaiFdw6jXlEJUU2ohhBsE0merW206zlY36312y0otUHqISBp9jXcqV20BSvVfi8hAmXUatIVK5XMc102/kdqBA7+CnYot0C3xLc6sbq3+XqfJalCqOes8Xaf7YrXYKJPcS3T9hg4xXGstg7HrN2s2uZb3bzB2XR9UC4J36xF2XadnEBDyijQUXCDinwWcqvj7VLruzxC7Uz+RB9n1na00Ja/TUiplF0hwEtsb7ANi1/1Jkf5MqT32ofufcSMmGl68puYCXy0CvCw/F+cou/CGWiHEwlZfKbsALQfF4+DQOpvu116TVvO7CCi7cDtGMhWVXd9TYIaq7Kkb1ne6V2GwXKsuoePsTDYx7po5ho7TkjWjfBv71HE6YSK4F+Sr4AJFrSevdiYkpeACuUM6yde/gLGCC2wyiYuhRvZ6SMfZhDJhv/WpXSD3RlwKHpu96upT+xvNwLn+XWV5qFMn0U9tYlRbeGlnIRXx9nqAF869qff47nFX0YVqC+hPMOTIr+bvL5ZDM47N2vfy6roXy8FaSEUeXBd5ERfLvcRU2DlQgnBv9cK5N+v0IhpqDlHBhbdKekcETu5IWPpOnzjUK8OMq5oLCGPQFjZRKIpd31mN4Nq8L33pO1We8AxInd8UXWAHnrBAJMmbmgsQ1FK3QPC/7HrfwpfzPfh7Gr2nou/HdtiNkJoLqX7rv5DIZbrcuo6mNF96mk2amgsvlbIU4JUSS1NzgdQt+4xvDRn19zr9QbxJTCLc5E3BBRrXB7n8fr+ko8fAi++JjlMI4OjyCAMe4V1X6KPXY0UgM9S/TbEF9lds7ugcaP5Cp+cb4emttGNTb+ElERGC14p8qbdAwVEPT6pS703JBcYIek6EBuqWdR3NsGjU1RX0PLthIqGJUqq4wB2BDsLXXjel6AJBeqrEiuA7F1d3gd4PKG52EKaSCy+xEmIPvyx39QN9Z8+U2MNVtGiqLrxspNn3PqvMup4wFv0as+z6DVZGje6xjELVhbSfkTOpwhJFF0CvVEHsVYNB0QVGfqdlpvaiai6AUQY50F5ZHAUXKMxhASbZVadp2qFB6HCErdi7drglafVLgF61BdAepWadcpr7xC+EQy/zjdhyTawKLiCIQ3Msxfp16a2dWOZ8/xWzKbgAN/2iLnJXAlTBBXq7SWqsPxrypuZC2j1pD/1VzYGCC9UQvtl6Dd+d+A3pCyqi2bDFru/s635Qjd42r6boAiLyk5KCVvs7ZReipL4b2iLvz6voPteYkETtsus+r/4ADVMwqPQCUjJvGMFbUKi6C29U2ZmM7GhqSi+8EdRFoG8YNFF9ARcX7cPQRnlI95N+YVuXBVIBhqjrfMP5m0ATVlCAASKF73tLEUXerxiOME5iBE0kofoCIsJ9Z2+YzJvqC1l8e8LZZi4VYEDucZPYR2vwHhLJwXJN9Ov3q1EhjGO6oMISdrp7AyI5mG0/LPp05Lzu2XQfJZVBwUBmTQUYaCiaP4Rt5ym77kcbhJ6XLFEKMLxp4aNHgSnoXl33Fxn1TtVwXVr3iQhNFNL/PiJhHLX9ZG8IAN4bFsm9qYNB8qrMek9OECb/qn5WhoGRSgfWXlUgqAxDmv13GDZS7acMA9pbhGvZbGQ4iN9oYWbFo+k+dv1Gm4kHe2cO8Ru9jN+ShYJMxrX4DXeeFXXi+vvrcUu4HH2c+nDFb7StjMnEbp2fGgyBzFGG3Lt+8monFUquIlhXDQZY6OHKIIvtTCN+S+9MWFhO2Yd2WJ2fdFrHPrWjhP5LCjr2pf2Eo3BUMagCDJBCUzSBgGH9vV5Drt+Z+v6+APEb2eaFXvP8Gx1COPZd39igdzRXEcKRVQIRPW8NNCFcSykqFPhBHgow0CNCvQY58YxlwRsxxBnCu+SkFGCgYxCSbqhB6+/1umcphwX5eKs63tNm2H8RYWoKMMDPDQ3nfMNA0BRgQBx4EcKpDt6mAAOY+zBnoR97H5TQjcn/gfRwlNdCNz5/9mhFhNXUYIDyusMrUVy0TQ0GJLFIeHf2SrHr9QzjE1qJfotCNxpKYBl5qiJODQZU2cCsT7HfNzUYyPK0FFDOGgZCtzbp8SMKFeikBgMAgTAmcnVxQdzGjol8NOrKsevyt4cmnUGvS+y6DFnHZhdihasKDIy/QQUSUdTrncAtizsaE9vybEUYqCch0p+1JnYdJ9WeJa2ercgNNLlIzq5Em1RggBv723nR5BTgpAIDixySf6OIYpoSDGS32M2t75t/Ytdxwl+Ejn82y6jCQDDwpZl2l7hrDg0PIadJXDkJC1UYOAtVS4RX/36yPFSspSFwvBfaHiIqiOjAqrNd33v1cFJqG9+Fbv3Jp5EKgtgf7fS70w557jqmFsMbQcUdEoEZe9MOngzxS11C36nRZ82X8L8pxBDtkE3JVvRRmyoMbyRWUcXslzynqcKAwudKXKpiDkowION5QuU3jeorwYA+ScjnaY3BLoJLOQUtK09WV/UXgCnEqPPFxa7jNH/wwN5ECdRfoKSXgCUVq/fbVH8B4oCkQEryqSm+gNIlzRiQd/l4hW9QDVB3NuTbaUowQBJAh9p5dz154VsnNFQZt+4N6PtgEvgwqtL1TSEGuBwiEgw/U+y6PxD1OejO5OrCNzghyC+vbnxMIQb6AWBtn08YtJsqDISJ0ejbAaL36j4BiHR3Amg+NEFcX79USZ1oNzSVGEAE37uHmfOy4TWVGGga/b52IHGrn+h+oAv1Fsk4qMSAWiL5gLcYyJtKDCgURnOLkGfs+k7JE9G/X00FAjc0JtBu/U1Xc5UY0CxkHCQjfR0UvoWFHG7cs+tsOp7q6Q55iK9e+NaDQqMEHrN+Q0ZJxGKYoFWMgZFAfymUsz5g0RtFGIjCU94f+6OdihGoXMpL4dv4VUi2V2ZIJQZU+vjqaLE/lWxQjAFBPvQYgqFjH9qhLj5t1XMXwKXJjeBReNCaEgwo5X3fT7aKv1pmVGEoAnPoln91T9ftAch5YWev+UEIR/nhoB/jpPpAEQYEh1KoEz2/8kEIR+0Lu91voctNCeFoHWaReU/NseI3tMMoIVqho2+KMCBjcTKiRvCYCgy0FZHR4Lus8+t0gwx7I1BZ96PHnQJIyqLrmYrfiKJTgVjlV8ovwGIU7YSnggvKL6T9k/QTuY/YdXdEaQGwXnbdHYzK78OrrmD1Fwi9/uC7e0OQ2tRfIJOE8iG/qfvRXYR1H4QC6lsUuAHDH1Is1fuq+AKyZYjt0GdRf6+7AKSFYlOC7kovIDTWi2k5gFTpBXihvo8Sve26rpBtrDDaj1MdKUovUHn3JFY9Uqqk9AJSXwQqYeS7DVOqLyDp9SE+aJjc2qm+8Cbb+e1yTlSv61c6DgPBgLF51YV0HMlV+IXvRyJw+5DdyE5k1WcocEM49vO209sVu45HzhcWxlouBG5op6BYtE+NL4Hbt+ygT7VDYtlUX2DdoMKPmTfPVdA2sz0DDNX4ErFNdo0UQoRlvim/kOI1Zp4Wju36yfbQt0GEKX7VFyVimyEK/GBLQVIVGN6w1EF7D9dTTqUIAyJPdJ3RKf/E/mqHKpWlM1s+FRiI1lOosor7sanAwHfw0LlJyWrses3yg+x3eNubCgxsAVFBRvnjxK7Xb2iweq+yfRUYElbssu01BRggO6Y9PfAAuziNLWynZzmaE031BfrCd2ZfIEA9CXEa3UGdcpgIMDXVF5AXahH2rh5F1RdoWowEWuZThRdgLw2XJ+8hdv0lkjHhac1sofACnEPQC9KZnucvPiPPQMx0VfhF1QWijLxFiLNiF5wBrgm9tEqAqrpAIjOxxrcalpRcgI0TlXSa5cd9EOKzKJnS4z0TW1NyIdL10EPSyhC7LsM2z3fcZl1Cl1d46NkZ5YEKy/IRZBedNywqI6gSxZ616vR6TL1mlUfliYrHoNqFQLXdJy0e+yYsePFJOOWJise+2YdV4r27V3UWUHiBpYba6YtJ1FlAyWVBovO9u1HLqVILb8qt2fs9mRSUWkCEBQayt8hOmzoLRKaIuYT4PXa9Pih4wVSbYl11FlBJwQGIoXO3IjH0QokMUdIV+6N9zJK5r+9YJLbC/f1Njr96SiIxEiQIqpHBuF6LxFa2OQCM+jSFYYsfEGGvQhilFt68ZsQl3mxklFpIxzYcIAVLVVpguWfVT3I1dj1GUis9ERSe5kwCsHSgRlSzzPoM4OjRM88VxF/QqM2gjnM8k27XJgLQelGmSguwV4WIm/1C7LqdSptwwGcYi8HS69KIjWeeV2YBJmL2zXD5OmjEYJGqpxX7V2Y97zR2UIhfdjEYW2+yRugR3jMJw6DWeZODqYcoBqOWDUH1X9EDKLQQLEVZ2anKXYUWoMOJ7inSml5Cv9OyhCxbKl/VWkDToT8RCC+/hWErU983zqukTaEFRBqowQDQ5XkLw+CAIWGKf/fSQjGaxaGkfFdNrkKxxZuAzqpKb5RZQAwBwM362j2VjqcjndKVMuv3N5Bh1G1Vs6/KAtFdXhz8NXl+gjEYv79x21fRdamyEB5d1hK2FbHrNJWAfEFV7KvEAiIBTLnsveYdmuIxumjYlZxin1FfAdL/CSXlW4wROaTfFG+9acjNcxKSbUQJSDlUCkuJBaYreJX5gMs+tI8sb0917quvAJs+KX1S7mW/Xu8I3Q6m5hvNUl8Bdnxaf1CQjeOCsbTyUzAYZsqmvgKU9sQo2iUyUVyBOFzYI75pOS9CMLYJjgzklEmK1E/0mnG54FqqpVRAtsP5h/JZouyKK1B3uuinJ8cRu16TvlrR83JgisnY0NMyfXln1FeA1P1Dod+8PN+6hF7zYJ6QcvDAFVdIGJpB28N+2RRXgOuHlnPCuyt2vWZVpAinrDrMzp9S7GLMUFuBrAkbOSI3LXYdHknrtlOwUW0FOM3hl4Spru5Gb7O/ieLKjl1vB0e+We3Nwq62AnneHRbQkJg2tRWSd4O2pFcbgMIKMISjecl91t/r7Yy89qQvJXb9XcmEfqgucQCFFeDuZjmnt6Ps+ruoTSXgXmbdhVkC5lMqUu4d6TGIN7Lfs36ix4Ar2mBmEjiKKkCS/X3lCCIm1quoAkw7VGxFSDt2PYYQlkD5yLSjokLyOnT3VZYjtyQa25GNXHAH5aWJxqBn5duH0KxGqaIKEEtXvPo1b6qowpsEXBQMdt3A0k7I/P3dXIqKCvA9k4OglKnu6minPQyeogTqlFOAoxkGYqIldxFXUQE6ZrBogGLsr3YQN6EDv2gVFaBRJidFZPP1UPcQCjnw+WdCVlUBIoGN178oDtZP9J0M0BPt1zxJoRnxrl2KojHrOosEV36ui7oOISF5siiSNRUVoBfuFB5WA7GCCqTgYHulzTBXFZidNN4ukGIek8CMPpfvA+jhCG+qKaRa8ldCJ/Xn+tsJiP8o6ym7ziJ/RrahBrKY7JBNpdkxUudNGQXahigu/Qb+U3+vs+AJIsE14amjQAKRFChFFXn8QjJ0W3qIZpbflqishGfRhqpvSEiW6CmlvvcBicfoDkJ57fUSejxRjaLWPmoqOaTT35+SQ9x/6WxVFG51z0kxe+w6vnp0v3qVbqqiANvrYIO3i9RSCQXYzegA+M1aNJRQgEwy8oAwu8Su19AAT8ic8rzFY4c5dIT/tU6j02S4GJr3NgVjqOUU211NxYIxinHJT7IOxK67B5W/v9ZqBRTCwMZHSAQpdt1FAZxWzJEghOoJhGCoP6TWM+e5SAwmUeJMwOuMl4vEiKtvmudbbTdVTwhPUsgd7vi6OCzy30RiK1WreAK0JztFX63GyoVhsMSlgaqdersXhkG8ifxJ37O+jgvDkp+G78z19MIw2BFI0qGImetu3aXEDlHBVm5t3QUAEtO7U8rWXa78DYlVZAJqJtB4NsARZPbvGN16THEZnUhUad6z6TXbeXZdlYxSNgGGg5EOtJ36IjUTII1kMO63gh8KJkAC+WZnXIBHwQRoHmG/ROkk9qPXHWW9F9B8Q98KJsDVUvx31amnWkKLqG+SAr1OpeNELekcqD4V1RLgTAzMeIuTR7UEiBHh96N/3Kdx9HoSZoKgZNQt6TUF2EWT8ne3Og6jLrwMhWOOfpMd4PTVUaxSAqid/OG5TUHKJPDa6MbgYxux6/SKqPqucL8qCfAqdAD0qsZnJRIoTqIlk4B82fWZuCuFH8+9rA5vcD58GvYiqJEQyPNtZ8midg/pM004zOctGXBFEqDMG9RrtsrKKZIALx5kmbzV/P2j0yddpb9RIEqRBKpEBz1rkFDG3rRnraXnKg/1grEWwekeWaM6/9Cehq7vYWTGUyGhRYZhUEZWp7keFwMrH26v29nav3PTelhBfdURKGL6pbyiJiTVEWBsCxSaVWKsOgK8bIv01A5ldU716vGb6Pe8mEdpBKjU+HQhCBv+RKffdH8T2D6x63RLoXi08GLXaVrj+D6jJ9uURoDQ7CAOdNsYlEaAoCx84LuiqOoiQEE2YYcc0Tpt6iJAKfbLLJpe6/yk6TitOOx5RjYHiiLQAsTOAw3i+nu9hmiuFUqLXZcJikdCod5/02WmC+r2ftZUKYoAExfdML/QR9aDajo+Qs/Eolt2HYdWJAyRve5Kx2ePhvLbXj+Iru+Tt30iARu7jhOEIFf41rPqOg4mTNA/a4HaCBBUkej6/e476jq+ZkK2PMTYdZzvNsBz+sy7jm+EGiBJJ7dZh3QccsrvBk5Vf6iPAOcT2JeuvLq6jtOuhLh34Qz1ERj4pKyo8cozH3qNSi2zTVWvKI5AHVICUTQT31saOk5eAwa8wizqI0CURFocxdi69HWcdhaCVrPqVhVHiEhcBbiDcFVGYHpGeIU2jbrVrZ0CkkV/e17QhWLZ5BA8OhVqVxehhbjsRwlZ8j6KIlC21WEEop4n9lf7rq1fdfOriNAqIQy3e7LxSiLA3TPJtlNpGbv+Rj8H+tkk2tRDgHCHiyVrE7v+snAkoenmTk0EWHIgKmJ/l1cwdZnaPvTP3/q4hGM0477QFxW5pZoIfATQAk8+vNh1uScHvy5CUA0BsplvkSMzXa4Jx4iNwx75qxyfUggwx8Boy2Qc18RjL0Sph3ax+nM9JpdKQ1gFb9RCgL7lewCIVcy6rO4OCvmoiqhpUjhGFmqtDJe4KxwjoENz7qoCNVUQ4E9BenFXTkkRBIrov68dDelaiIVikLWy8PTKjKqAQCxqpcQoiTrVD+iCCSEv4yJ2veXDTw6qxr8wjPAZglMl99TUPSACjVAXkYm8dGHYW6zwAJ6LhdQ9qL9vecUZosKw2p+j1lyLvDAMUR0ye3ckisLITAw01IuUW8GDlt0O4b4TmKzkAcQZv3CJPPUFC8HoiGWFqQynWgfwYKQF/1cEJmodtAJaPTPqf//T1TogdcYmdaEEH/v1tqVNDTpDFoOu0EF64aGY7f0SiXa1DtjpIFhJ6XuLvWuP/gA5qHqmXbEDKCFgjepEY2PX6XxM1HEzfXRlDiBygCSQjqXh1XWcQBAELA+Rha7MQaS+Wl7mE7sYDGIEgoEnwYuuwEGYwHpkGHa8EIMVXd0b5b7Y9bpHp5JCl7ggBqMNEPqsmg66AgcQFaBETIV9zHqMimGH2rjXafR4JC/JXiXuisEohF953teuu4NNT6dqNrcpBmvpZaFhuud2xGDEs0lkQksTu+5SFppCzJn7FIBRrAPl9QnZaVfUgK56vnFqEvOYRV/k0snLv/lquooGtMJ/oOWXIHbs+ht+V1Jv9XxEX+QsYCucv5URIfoi9LxfOFvrOYi+iCceuJ7o9qlBJ/oi/hOV3lNvWPTFjp4mJFoLYtdlRBlpdUyDV1fMIEI6VD2R54pdlwkejYjx5laFXixMUJaQeYtdl7/Z7QQw9bwCcRdjMit4psaunAGN0yPcgs+T+xF0fWsDjF4fDq1XJujq0WPpcKXnOQi6ejSMWxqmY2/aYUokfFTfsaALTXvK5UlXxT60U3RPKLBemYgLZS4ywzvdSF0hA+JzxGyJ9tR19TdVSiM1I7HrL4v22re+uCtjQF8uBKVJ98auv6xxTNQJaHQFDLLBpWEVzsY7JIRbCD5QowRTeOy6zELFME1dTVfAgFZXssbU+9d5dLmTRJ4oicc14RaNuDTljDSZd9ULaD8daRcJmVxXvaCFoJ9j787XJNz69qZ8irufmuSEW9+cspE1+v6d8wi3emoimYrf+nv9ndRGA/ZP2fV39pCFfXcbf4VbH3IdCLl+i33Z9TfZefrs8/GJtjpwHmmN0/z4RFuwtrBBTmH6PaTTdHTQTbnrexJwsdH84XPo3rp6BfQmQq1ODa2nEnPB84QCG3N/4F5XtoDIT8R1T790oV3lAjoIacyCqKl+ovcnQrp0LuVpibxgYPxtNpb1VoVe6MUxQmifiV3fUbuh7/qMfBBCrzTrLFaSGshCr0GpIOTSkQjqahXQPUd1CBnmvA2hF3MOiADYeh+I8IsOylBQpCuoDnUPAZLCF5S7EoEh20c479knXgjBBlE7xCXfGiNCMPhtwcTzrWlACDbelLMRla7z6zU1nUTuWiEPIRihCzoQdpi6uioF2QVAH0R8M3a9hsySgAcRyXrXQrDB2Cmu8rwgMdgAWwKTfl1EIgwjDUftwvnVpCsMG5Q+sAZFgKgrUxAGSYgRGVS/e0jHs75BufdkmAnF0Egi8rAj+NcVKaAliabScVI8v3NI37/JFSmRJ73KXZECdpor2qC/eyodH1RLweab1VWFAlqAvqUGfheyel2FAgq1oOymCad5aR2foZfcqTbI96JOAd04P1hZWNli1/FF41S7dQBdoQL6ar49NAm83KxIbKyUfVGNnT8XiRGqZij3yGN3RQrobWnZOaVAvStSwEJDDUKKM2PX6VD/sDfPeqlKAV0nMJKSAqrr6vGJBNBbgL4rUdBCc8NznauKALoqBbR+sCgvuIxi1+NvjaAv9fOk358IyMBd3NROlqGrUUBrBvNx2oVif7WT3YZusNXfN+0E++kOzRysOgHtEgsG1TdwVXUCEswv6w/O3NcjJJvQlqEqcPKhqk5Avf8D3cupRU11AlLGE/nUGZqMrjoBTQbcU4SXr9OiMjhbEo3fNS6FZMlwTyhGs66pTUDhP6HGVOx5Kv2mL5TtTrR6uvIEhAvYq/dZQFd5ghYN2BTn1HMSlcFeQb0oNLGx63UPLfipAvKuPAEV8SwFtKXU3+s1dftUSSXM2BUmoIKdSS71n7HrMhQqM3K8MesxfYKdb73nvQnKEIBEW2+FI70rSkCNAVs3WrjLrruz1NVGrSmKElD5HTn4UzsuRQmo5E7MrKfguytKQMU2kXU4X/I4BWUkAEPwPOs+BWUECQF8ZCZi190PJowsNVlblSOgRHqn6xi2w3rDgrIP0rB4U8JWp9LlD3fRFr/Sx9+VI6BImd5b+NjrlnSZx/+Cacqsx3BXURu0VjwTk6FXvyIoXi9YTJZxSLK11fQiJkPRIAIlqz5kMdmK0DudbDWmxWQIQULMTf72foHCMhRd6YKcszwWloUCaaDo+boyiMxWxOy4/iz71P5hSx7fjBMiM+oEF+nbp+Y2YVlN/Ygn17MTkyHrCtCGUAq7mGxFFGBUTKsrPUDdKQ8bWRV9E5Itsu0fUn9rv630AAOaMMns9/UIxhZ4vVN9EKvuMipC/pvdvJID1GyigcJl8xkIxXgtZ1G4fO36++EzCj1aDTmR2CoiNbr5c5MisW8pQ0mY2S5/LxJb6Wf+VuHzt24KxuhZTalZUuddyQFqF2kDfStT1ZUcYN2P9uAE+99T6TSrNrR3b/u7in5PbpKSpUBTJQeoFISeubfEt7qSA+yivwG9aaMqR3R8hdESwfg8J8EYRSxh0ezduxKPLdrWqH+aNeGJx1BCoXQ5zLT3J/rOQrKygYlZ10nG0Wn4zrq4ftMKRGRv1BwmFlvfhpxyxl/t+RUboHBtJBP31BwmECM3uAnxRsGsKzZAtRkNYzRV8SoUG6B0jO4ECLV67NdjGtkgFH6T9+rKDFD0RcjwV4QjXZkBirvICp7qzOpqDBDKSXsHEYjYr79s6CdNQnuWfWpnp4cEdmYYNQaopqKxgwrHsm/t53uVkPO+dZ7r736jiEBRB89TdQG2PHRcfV9bhqTSAlQsXUmtTBbqClCBFG2RSVK4KytAlRFZXMgXLj5SVoBCAvqokWq7G0JlBVq0oSlR39lOKCuQXeLKDv9KnHVlBajrQfXghQ4wdv3u7JFGiH4Li6ssQE3OoK3glzbErrRAdtKHOX2WWc/T2ktBcHCKygIteBThi1+NDEHYpsHnl2h2nUe/GY8EmVNZ3lUWoGSFFsaErmLXaUKAkTN87rejuADBKWpA02IUu07zRYM0w6vQlRWgTIS+g3RyYxeCbaZElCIjDpNTicJ2aalSepm7EoVBGELVwDcrZnwLwSirDLH4r74fIRj8sxSd5/L3Ejq+WVsnldwZsqIwaozYEaDoF7teM4z7SldDV04AzMxCcwKv7wV0m70KhI89C4eKAhQiMMGQpHVwisTOB9AiEDxqmAvFQkcCiUuWDuUEqBXYiKG+yWZ35QQIKdCP+43MUX9/XYZUmPVkp/6lKyRA9JCkDzdW51naeaPkyLJdUUiANDuEodvZRyQGjAk6+F2O3K6QALnxDxhO2vp0WjxGSRcprB0B9q6WAGntkdcUsv+ulgA5aoKg4w2LYFdLIHWyAw7pkKV2tQTCtk+9TsSZulIC4WD5hcTqlF2nmV2I3O1gOrUEyPjOHrLhGgGCMUJRK/Gn+p4FYzQIJPqShr2ukgA5V1Rvn4g915MQjx2yjgNx6noPgjEoJFaI7ObfT3R6BCFQ2ZaHJxg7cCnCVrVbXV2vZ7otfvBF3c9aQEa0obizW9l1nPrJTVnBr+5Kxym8g/MaRsO6KzEZEcOJIlPFhRURSKlxKsuf+qxFZMnC0nsKTd09lb7vN8StpQPY1REgPfej2un+tW6TRYZrLwVwXRUBsmpPpNyeXmfRZwpZqESoqKoqAuTCWKE+B+759TkeAB1qibioLOtCmLbuunhRGfuIndLuXw2OC8lIOxF1YkyVvWmnoDAUlXmdF5KRK2KG2lXF0BUPICcE4yzopK47taMp0DLZxL60U2hGZdF743LqB5CfGbSXQQwU+9FOUQ6XdpuuhACplW84oaSdbbcSAqRKHnod3laD8ug1qT92uaemt6PXZNMmvMW1Bh29jlgmrdh5SEenWcShm5j/7ki/CfZBrbprgB39Zr6iiIKEQr3So9/QnTHr0IJxD+l6p0aelTdnUziA+D61gswqJ3b9JvjW00xVBadd7QDi8vQ5IY61Y9f1Afkc9auz7LoO2kGxL1UOXe0A4ubEEdGhX7HrOAj4W4NaTfkqB/QINk40R35l1+vFVo3+42wvlA0gOH2yIkfRtCsbkFqc54RqLffz6DJV8PByRLKkqxkA+uEjOaX+2NUMINZLJfoP9BW7/kJeMiOxlufw6C8Vv9SbvbcwpSsbQDiWzNpM4U1XNYDQagsErgf06PBhlw0BzrpxeEUDCIfCWfC72RtFA4htMsJ/nDL2RzvbZgreAu4VDSAamez2zRopGtDz+dCUcOrdXEjWo2XObBWsq2BAjzhgUoyj7FP7Ys4gz/xcDy4i68Xh+6NZPU/1IjJCdj30XKDLenoXlBGGI0EO9UScazpNExj13yFa7ooG9NSPoeBYmQdFA3o0hvlMs2QpGNATVAfpVkhDtYCenRf5uFbPruk0SciWOE7M+swkwRSUFq+uTADBpW8h+SDLUzejv7C9gT9XNoKqBCQ/8aSDrZzqOjvCbQIyzd10nYXZiJbnykcqDkBkBsqE1upFdp2l0wVqhNQPd4UBiKbwwPlu6jQ6S8kAktzpXOmqAhADQbMLads6j96uJ11wJ6VWXUkAIhfRdpurnk7X3ZUieuQl8/dDd2kXmCuND7Hr7g4cSid37LpLBVMEP2tAD/1FOfqc0I7Hrr/shtGCvh/G0N8DWxLFEvXnuptcPEGa+lSH7qJXW/2UMevtN6+vhKtqaroAjE0x4DE0C9gvAGOTO+i0ekNM1CX/76G5pm6ndjyS/7M5nQh0oZEV+/X2LSa/960RfpEXO8od8fox6rJD+2oRO78f1kVebAAT7Fxe9nrLRgq2Lth172d9kRebNBiYvyn8XkKPX+ot+OrKvvSYsQAaiwR8l/uf7dNuxcYZF5Yew7wXopyE2eX+7xF5IBP8XBmBLv0/u5iB3MRe9bCXXvdIlh5mutj1Gv3aGa03vVs6DnSYCJK+26voeNinyGj2OpuOoy8A1pnZ9Mr93zNLI2j0ZFso8X8PGcQm81yrn/ArukeglAoxS/nfIxSPosWz6vx6DUlcT5ynzq/Xk+j1c0tbu6T/PfRqT3BD2XWZYBeJsrtair2+95kO7B2hlC7lP7iTXhw6E/KBC7yCr5jyCzSIu0jPolhAU3PsuhtVIfLmv5u7kPMfmAdRSF547Hp8GC7BDWXXY1hIOHPdqLiLxhnWyvfCDHEXm26cXVWjI9M/uIjiaLrA8uJFXHQYpJohDWldmn/wzBpQEIRdpcvxDz4hN03kr8f+aqdFKn1sb+xNe6l39go6yu4PTICBLHyKsV93oYuhcrTXZlB2f9b2IIyRQuQuu3+PDm9ayEb9vf7ShYmmXGWVpPZnef3lopGO6VL7s45+awF/l82p1P4sjJS+EtnKeYRbCEgsmGPShd2l9mdF6wg9USoUu/7iyg7xSp6zcCufF6TgIwNUUn+WFvhdo8MSu/4OmL54+m+dX39JRn/gGUq0+jZk9Geap3IUtrdcQrRF5pLmReS4YtdlRGwQFaxdgFz+TMS09qHYW3+vyxCkEy6LUX+/cU/Sskhzuyz+TIXklNkD5LmJtWAPgFxsRku1S+HP5PWdZVLrXjejvwh2ktB7apyIsmiFpM3+Dh9BFlG6FTXp7Aak72dCeEGW8KTFrq+H1sYPjVb4U/p+PuP+TZTojuZ2RFmENk7a1XZdV3ejtA3pfb1eYRY1hN+KO4qWpcvc39PpxVXSItxl7mfwjDdM+NmmytzPeE2nZKscjcz9PdiVDviaBqTtDyN5J3iS+JWs/Qy7dOGQGo29aT80H44nBKldyn7GBOrbFLXl9sVZRLI2LFGjhpo4K93ii4W41+3obkvD/Y+u/9h1F8HHD07swlky9ffIC7EXqC2ITP08v52IbdU8yNTP84BVCs71G42UqR8f2emm1jt2XaaeKluE+nM9Zu0kyf/WRyHS+m7hg5stMoOx6/GA/fdbvVo9CaEWqu3pJKxUsRT9/I/FMlW5+Tqk06joQBKSTIIk/QTHEFuBuzevXrTFhAJCY0qJXYe/7VhLoGPVeXSYRmzSJDXSRVuQAkOC2OsNCLbogycZ2lJU3SXn77TGpk1g1p/rLnkr9mesKFkI5eZHVgt4dtpdMcRakG5EhK5KIuXm73BV/FrlnWPXX8jsv1dPiCB2/YWhEihXkWu5+TsT4QpLdnkg0KIS60DG80vsQVZ+miAJYRDwLvvU/u17RhSI6rpL+64J986IQixIcYkQkbOI/WgnEzComMjfC7G+dZkc6KjQpGT8ZAh/K+5e/Z0uH3+HF/OHREfIMbt8/J+dZY+C3poMBFkjfM1QRvzKrsdpQ31OygiyiZWP/xvVsGMOEpV1szpNfGi3ZNr8iX7DSPP5VuWGMvJ/H9aPlTg8rdhFWqRHgbzrzoxCLTTIF5x3VSQtHT/MHL+UoO4aRuIs2L5TRrDqsYqzCo6w/yqzPsPrRHfkrz4+cRad9BQwnPD9dFn4+YyflDr9/ga2UAud8F967eoZCbUg7qaSYRVUkYm/U0oFTWTJj3Rp+OFEXqn4rTC9HPxpyevkJtgY5FlLxN8p9Kaw6bvtuoROo1fCIv3rZddrCvnA+Cvbejn40Rs71ChRlha7XtPQyPfTRl1Xlw+055QjvGXXZbgW4IOqKLAM/Cz+nIsm3Rm7Lkc9e6XzNPbrMi18VBsSiIu9aSd3yDq26jxde3Kakyhk7EM7qTQCXHU71136SlI8NvaF6zLwM/cequpnRQhk4KeIdkCUWsajkUzWm7gEdpEWpIbkRemajP3RjsYhQrL1mEVaM4TpEEfV+UVaJI1DsV8JLln3v6n8rTaR6luQcp+OGOYCIuJ5LYKtSQKfugkkAWoEibfCjBoti1a3qr/sFGjfL/mFHNLrTlMuLbDlhZhrphKXxHvegZBrwoHHdu2+YyFXGNcWquCtTqPTVIYhrhkqny7XPqEuZDuoEKi/1+n5pJSlrfv3Oh3ic3jnaowKuRgQ2clVuYxE+1AjJhD9G9nDy7JPgRB6Db8B234NFlHXDCsFLaTZ1MiyT58mLRsQNuSWhF1z/+Co/VEmGLsufxt0WDh2FUvIr9/ZoRz6n6qRR359tG8ifPJUd4H8+uyfv5noqT201PodMbCZQPG9Gx2mVSrt0rvOosOHmCIp1/p7QRet7JQmzshAdln1Pzvx21+cjv3VDmCnv+fU3zftJ20H47mUpl1i/Z6iV/TjTyJTEuszXa2WEt+6o6mZRZ0isd+NvkqtT7U+tTq9pEu61PoQZBbVUE0gYq5FGB3KhNqNy6wPpe+P+oVTJVfS6lOFGx3hW5YirX4qZGcKrGtuF3Qtaj2ZhpLhk1KfAnni0N/6HowjpT4VZqnebDWuBF3kOuHbGxXPk1E/3abnzWuOs0IuxA6oSviFOKjLqN/RpaFv4ldFLNLpU0UMzyXO5u+FXGvk/qHCu/kg6fR7ymNXybfFrsMpGmFpn3UJPc5njwhDuzXUMuoTYiDQAHde8yo6TrUcy9WooS32WtAQ9TAWxnGxV7ieyF/v+pbFXovdCnvXQGsJ9RkkVBGsUaNR6LUgQKXjoMo/JdPv8MCnu/VXL1nc9X0zdKxQP5FnIe4KCRlbnipkk0wfikvexHMRqGT6QOsemlqSYPeWrsNAQFoainqpS6b/2d8FjEb6MfajfbB6Et+/2wz59DsxEari6Na/VxF7IVb4K36ijAOxF4kFBJohiom9aU898UITN/auHR70kwobL3F9T+iThre3pjbxF6Ri8BxQDRK7jsMbSV3UufRLXT59CiXDDbwq9yCfPrE+lDEoOOXv5dPvJZr2fRLRiO3y6XcIbcNqV+BIPv0P6P5CfXjD3/Lpd8jnkef6luUTu17z2cMH9ray6/J3BbZpyIDHrsshiQ1RUp1flwcz26EVp+5Tfzk9FN3vtesvTKUpXwyKkEMfDnAC5jT1PrHr7+xJebPq1Kcoh34vudhwtuSWxF/MVogqfNvZsusy1bhwKY2stRLos7VD84LCtRG7LkOQPPN2LgCTQJ9O+NS3fKtNnUqvNxtHmsFXeafXRJ8fZrJ62mKwjbsfSqWWPXa9DrHpM1B0iF2XDx3DsIbU2xGDobWy05SZL0vqfGp5woD2FIqXOj+7VsJXuwCkvPl0cVEmSiVC/BKAQT4DpBqV5ZA0nyGaMMAbJpguY/5nfylSeOieqw9BxvzaPEbIswaqCIwFnpTPiDZllzEfhb5DAnhFECJvQRB2ouhxqGSvn3TtBFizeuRpCMJOMgzfXNJ2nUevWyJNUGlkgAnCKDRGdbRHXr5LlM+68KOsi5qf2PU62JVMcmZuifJ7mMgHPV5J5UqUT9cNSAsu0dyPCOwk8I0wZfklAoO0Ds0KyujuUxWEnei8UoCWDa0s+SmD2tT5rPpzPR5kNwZlXS12PSaq86Zxsq6sx3ThwyQyM3vJj9/DGTbAkvVERWHMB2h1z6p6khwfpn0iBUgA5vyisJSdwddWgWXJ8TsZWXIKv2yvJcZP1PgXoop7Gr2lBGFQFlKTiBCM+mIWsGj8dInxmWzSQvrciUL4dei3eRC1qblL/HUoj1wnAovYxV+Qj6K26fsVf0F3Q2Vo8YZ2OfGJmp18auHh6nLiD8qDRqi9nzp/177S5dxriZcTHw6W7ECh47yfxgVhg7jcTse/deAy448UBYE6CvHKjE9XCJWTz6qp4sKwQT83XWiw+2O/MAyWlUlh7ajmBpnxPzv1G9xJ7nXp8xuHZxHgd4nxB7qgNLu81TooMT7ZHPAutKRxbOlzWyXR14NpJcbn66Jwkex0nvXS22T5vuXqPHdjJDf+dwixAXRzaj1Yegx8ILbf6vVsPR58R6mMya1uPQby02lbb2fr8YfDyQt+UCQebz0eiAlnRS27HlOCC2r+1cq+9RhZdnZAiWrLiR8ZKCR03l4AYevwt/otYMaoT2nrLcEcKDhUnO5y4uMWGgTk+W9AWlr8QYSMOg3EHWPXZ2BlNLdr6jo6zXxGgVv1D0uL/9k/BDCyGrggHP3+FsFv/f0m/FGX0O/DFDiJNP38ib5TbksNZuUZZccfVPdwA7PwvNT41AwR/GT+j/n6/UDocMDn+Z5lxkd24wkfUl9lf7QvxA72LxSqXVr88QCBYXYbFpPLjE//NhMz+ckVe9c++WtkV2MemkO+3W/lr8T4UEV+4waCuFiXVkqfI2T9xL61E0KNROOtRpYaH75b9uU/NLCxP7r8bYAfGntPNlVS44N+CX6fWTE3efFpB4sG44mEdpcXH9Ii9mBRJItdf8llImkGy0g9okefAZk04lUZjOT4AwB2kkPJZyg5/uA/UPPsynZJjg8v/hsN25B9dcnxR0qXYVYspCs5fgrq6YQkrlwzg/z4A91ahN8IDcSu1xOhakq564G/eo0oAqxUa5ddr78XGPrMk1i25PhhYTzV8112XV7pnDt8D7Hr8iJS1yGOK7sus4YT32m7XNPlHQ2CQYk29qbLm75nqHAyN8iOP5hcqHuLVFW9nabLZLGJuJGCuIf0mhjkN/Q+6Jyn1PT67FSRMmhiv16XHjuLfK+/n9ppvUdyb4/7Ii4CGxHODm9/EJUE+QMxaNi0q5hbfnzk41bEPCsUJT8+sxs7rl9x+nX58UlNoOBOWqDsr3Z0f4D/mXPlx6dkGz09+ofyXC/6oqGc6goINsuuxwQ5v+dDSPk+vK7TLfPbqhiS9PgobxLvBSTFrL/pCuWV5qvq+kteFuqWk82U1PiDesJDa1VPRFxu/FGSWT3Rmdj1lyc7Rqo4Y9dfiOaJn1dEQ1b8gT8fvEh0PXb9pWAg1U0J/ciKD4MGYgVz1homKz7J9avO2suuuzPyc0lZxa6/oIp0CdREOPWXfplDFXw9h6m/C3mASVbkbu3lxKenn0YVOqpyq2IwaOMhG0FGInZd3iCPDvFDXrEYjH0O+pUj/MFdQvxB7gdWQILWsesyLNC0pParHtHlxB/Q6S0CbXVD+nx6EVJVuEs6/JGJfKWsqez6TF1I+hH+viYxGBEWnhHRgNibdoSoP+hdkTz58GGwP6GHqWVQCPbhBzRLvvnub1SLwlo0iHZ6kQtkSIo/YO0D5T/P9WNrp+MDmoY0VEiKD51nGLrYQ2AXhTUyK/Ro7npOojCg3C/MB2XWZ54H3ZWn3ziuhPijBf2FdLl5SM/RdkUD+7S/X+k9uZ3v0BM+1i4tfmkLI56837LrdxGBf1NWzQ3iMRSdKViblVKUEx+dqzdCeJUlkhOfRgEoWdkJeEuCMW72e6ywa9/Micz4sJZTnPTcTJG0+KDMlna9Kp2VFh/hcXqEKbatS+j1jKYmge/mJXQc7Mbmat2f6DhJGVKwlXeQFp/gzzcUaNPP5k1afCSYyVGwD7lfhsz4TJMz9NHDIJDk+PTApn+qCtjlxieLQAwd1dvjyXQ9ZIm/VgpQXYL8QXsfgkVvBN26BPk0xQ0U2naxLUmQDy8HzMng0DqPflPqRhbozLrT6zcYngadWU0gEuQPqkGAxxVLlB9/RGZ90xyTnJf8+PT7sX8nxFT2VzspvjfLeOxN+yDs/n0a+4JTKfIHvb4whdbIlCF/pPNpUf711p9P7WlAgUij7Es7HW7vG2q2ewV9Juq50rJSl9DnkBxuYs034itLfnhFfgn6JZIhSz6cUCSUZlScuyT5I0VI33bldqjLkD+oggo5X7tqYl2SfBi8id3CE3Q/F0nyQQKUCSHM+8au60Az5CoSapYgfwASYWvY9cc6PZie3qsJ2aXHp+4SvWtKo+OZqIxw2rfkDqrtY9fjCZEX5NhP/b0uT+Ddh+RCs98lxh+hdOrZkmUkicfARxSFEL69/grJWJcWsYsiTZAVn4jXIPHcK04jK37EUVAhmNWCKC0+VPnUkXzT1q/Or8vpYkIGJ3tjafEHGzeK3547lARkhNxo2B+ZraTFp4kJYRGW6zwJ8RjcLZRTPNUjIS9++JVRRimy0i4vPms0qcH9K+oLefFBPnAbMyDqdq67g9jsImi+y761f6svRBoVzJcYn0+G9EyQbs3RcuMjTjNSZvjagyE9PuKipMrPL6yuXW78MSI4u2FTzssRlUVCE2LXCo3IjT8CCaK19tT59RqKvY2EUoaLoGyEgx6C58RuJcUf6LmO7O5m2XU6vILPGlG/7ZLiwwQ0Q1JVqEJSfLTg6MiCzr7sukvsP1NDu/BBXnziAygb0aScWxWU0YJHXG8HY9dPdHqkIvj31GoiNz5anvBGw6J298DS4w94szb7zMq6So/PgD/JjkXOp0uPP8L53UIjErN+wz32PeRdrdSy49MzArcL1AI3KidB/ndokaX9zfuFCswogh5MWTBKlX9iM6gH2ejTwRy7flNisMEpNbMKzthFM9FQNOKp9Ju+R6QkQ/7d5clPBz6EFuOc5g3rOrvLH3hn11X0/cAvQU98rcaCs0kOAkL8YpiSKv+zj1A3tOLGkSp/EJejz55a79iv13AFsU6TmY+9aw+ZDvxgcU1QhrgQDFFsna8L4rLvTlIp3/8Yj6TKJ/J7UtVZ4WWp8kfYU8JjkgidVPmRt6FY6btW7EIzqC0JVX3PO+cXlyEHAZfUOfXlCcpoWCTaNuuv9Tnt7hSN1bMTktGMQutyi1Z7lyV/QF7+nfy9+Uwp8ikneFA3qkCrDPm0AUGwnAbE2HUWorIRUsqY9ZUvCDHbx5Z5GfKzLnxjiwDtjF13aadYpRIZu+7ONAX8brmxFPmfHc3672yvCXtZ8gfqYD1Zll12fV4pTpolmNdlySdQQ86HUtK6VZ2mxq+xWX3rlnSaAUTVfVWNy4//2cO2QwfWjQlJkQ98IrX/AzXHrtdsXyiMqYZZKfIBXU/yJcVGIkU+1BLRP2yFb6TIp51m5Z32Vue5LlOyPpO5anU/U3uyfeHyin1pn+SxSCuXfWs/FMKhj1Dnvy6TDy+qupxeGLZSXdWDTe6TEIlRUktFcGEAGfI/mPd7Wf1+lfWXIR/4RzUyhRYXgMqQn04FupR2dZbJkB9RWRhXZ3EzyZAPriKXzaYmz1QcBjXPDJH0qkvrM8mC51An+dMJ3Y54b8+6fO9KPJb4Nan3nEs0RukszDoj/MZdinx2V+B3mpgylERjqYVlo/M+d96RJX+ED5Gqk6L0kyWfko8Tcm64Ru496TlpMJbOagSWIn/Q4jfpr+/ZVUuRP6hgOVGvfepudRu01MOrnfMLyL6FCZEaWujy9wIyxPW+qaoXJYT0+MQPZxoOhpwdMuR/h05kCEvDtC6i36BHZt1KtEuSD30rtRkho/Vs+v0tAjthg+y2Zcin8XaHhyZSfV2G/AHBJw3YiPx6dV3/phSkQJ6qhJAkvxqQKBAcLr7y5A96ad/UdPzK/mrnb9KKWKdq2hfyUO1Wg0uST+U4PID9VNOfJPn0jNEV9vm+yz61TwKNvBMfr+gMKp0TeYCsBvLkI7tGTyRiQHWqo50wGRvJpInkyQ+sOHBO/rWtSZVPcysNvpSB3QiSbPkDQuu7wNRPdDyJ+O8ltu4zFKARm6Y2rVWTnYT53xoC5GghK4pd33uRzdNAFbuOE56FyeV+l6Izqg8AQ6O6cWXLHxkBYM9K0suWz5+eaGm0a9drcs/RW67BKTaDGecX5sJAF9nyaSOqBo9ej0hgBp8MA7b0Zrps+eCx9J0/FXuVLZ+C44Oi86yUj3T5RA8/gE8LT2CndPmfHT1BmNNr8hCSZXPMx9UlO5Ixf8AiS4nVCxvdPaTX1CtAQTFP2fWa1zhKqiF2vaavIXuo3JS4jHaDWRyHeWniMnbT8OKRKI79Ok2GG5dW1YbKmv/ZKaxCubQetoiMmoGoARUbj6z5rB5RbZ9VwyprPhVS5HaoI8tgFJGl/6Ty/rl/ERlJDJiY7j5YynyKdlCkp/En5q4ZUtWxbqO9lPmEYglNM4TzLoVkB4Uw2heqlFHK/O+jiCb1nsXyLGc+HwuBj5U6nXph4jLWhkhKND6zIW0+Aksk0n9FZzikzR+RgktT91t/r8dkjOHDfm9H7pA2/zsEqSxTPlPPkDY/Dd0IEXwfyM+f6DjKFNGMJfg5pM3/7HSakx8Dfw1p84G/yOURza/z6DgydMjuJQY35MwflDc9yWi0nEdQBqpY36L8TaG5rqDsUMX/RmozZp2mNw8yCQSL6/kJyw59YN/iRf3bdU5klgIa+n/2v1/pN0Uxb2SVRuz6DfPMSMF03Zd+p8+WGkDG2ZA8H5o71mJiq0/s+l0B1BfanXtpARqbDYSm23vt5TqMIz82gazQsb/akV162ALmEheewda5VsiST9XQDyn0E65CTrbot4YU+h+SZz+K0tuO1xeeIYDSCBIGYQ4Z9CdsVjjyZpUbMuhP6CjpmqNq6j7yi87YRsI6RYkd5ovMJr0wK+1Z1Izk1Tb</v>
      </c>
    </row>
    <row r="148" spans="4:6" x14ac:dyDescent="0.3">
      <c r="D148" t="str">
        <v>2025-11-02T00:00:00Z</v>
      </c>
      <c r="E148" t="str">
        <v>BANXICO_M_BONOS_OTR</v>
      </c>
      <c r="F148" t="str">
        <v>H4sIAOW5B2kC/z1RW4rEMAy7S75LsC0/52rL3n3lDmwhUCxZUpSfo+cz1+f/a+t+jmHHyAqTiEofL447XzYmtTwUJop6jla9dBORsQj1HDwHKjvWzgnylytDOmJe+oh3QxwaZpzT63xUrolLiPSCI7TN8i8Aa6/s4onW51BvlZJsAWrcynQDqTQ39AIUcYTuErCIxvlE97qUUkgYwAjAeTnvuhZloVRq9wV6tZB2y2uYlZqVK9XOlhBxO0aSkSg4XyRqEVwaGCTGVSxYqxm1bJzVJtLDW/nHSsTobpq3UCwPwyex5kp6v5fXqwzHCnufKIioYGiTuNISNqJjKfb7B8P8vLvUAQAA</v>
      </c>
    </row>
    <row r="149" spans="4:6" x14ac:dyDescent="0.3">
      <c r="D149" t="str">
        <v>2025-11-03T00:00:00Z</v>
      </c>
      <c r="E149" t="str">
        <v>BANXICO_M_BONOS_OTR</v>
      </c>
      <c r="F149" t="str">
        <v>H4sIAOW5B2kC/z1QN24AMQz7i+eDoUaV+1qQv4e6Id5MSmL5OXreuTH/r637OeYL62BG1RDuY/GczoUFIRKKSkQGYa06b9/x3W93ZIrXc9x75z/A+IE2ZnHMd6c4n9ROKHqek/25sQ8flwi0P6fEzqtyvaInugwSpVhiPoLw9JCluLXRkLSQ0csw5mGqGdBNQIZe1WHXJFBmVHbwmLr27ijITHYPSr8YWnutDbeQ3pXJWmSPtYKEzKUuh4tbEF3CZgm/yditYwXH9ordQMcNZ7tpLRCjY2OC88YI0yOD0WkaxfR0ztbN6mapl7Qx59cL3eUWEEpjPloBSe2o3z8Bg6yb1wEAAA==</v>
      </c>
    </row>
    <row r="150" spans="4:6" x14ac:dyDescent="0.3">
      <c r="D150" t="str">
        <v>2025-11-04T00:00:00Z</v>
      </c>
      <c r="E150" t="str">
        <v>BANXICO_M_BONOS_OTR</v>
      </c>
      <c r="F150" t="str">
        <v>H4sIAOW5B2kC/0VRuZEkMQzLpe2pLv4gJrWtzf0gnbHyRBGvfh5/vnzt76TZfJ7A8913u2YDIC3S4/PQzhjZPrZDbo3V53HUmXcIXwI5ZyCWLB52397MJWrXqHH3XWdnVdcycdkHe9YRaz4Mw3QUPg9srmyIxujWnRmSRciO22tL8SfaaN4uP9ZzhSeZB9Ngu5hcLxcypX0T0MiWtMcqsfvrDupSpnSVe7Jt/YcAGDazIlAHA+7FIE0dyapPww5mr4y/m1RNUTFuHFmOumz5elEmw+Fqs1svnOMg1CK2O5rjsBNzKsQWeENFqMAxlVDeJ6dqfb7QT02UJ5k5Gf37D93nLwDXAQAA</v>
      </c>
    </row>
    <row r="151" spans="4:6" x14ac:dyDescent="0.3">
      <c r="D151" t="str">
        <v>2025-11-06T00:00:00Z</v>
      </c>
      <c r="E151" t="str">
        <v>BANXICO_M_BONOS_OTR</v>
      </c>
      <c r="F151" t="str">
        <v>H4sIAOW5B2kC/0WRS24AMQhD75L1aMTXhrla1bsXsmk2kXAwz+Tn6Pnqjf4/9OeYbVUoXlVIKCl8TuWWFUFliLMaWs9R9H2uDqpEVTM8nuN5zV2TJjCW1lTHbKtt5Yigezl7ZqLkfP3aWAMy6oye55RrkiEiRhfJuYal+8JIV2tBEylsDIxErE+BrtY5rAMz/mqG86m8xun1dh0ut1Vovi0gUtvcN3jECs7bUgqOkIMKvZG5U0ZpT4h0AsltsVgvtVkeR+nyQbDqUVp2vr8Gd0VWGUxkzDCLOJ/xrWEd3ooyp+aGmazni83f8wcG7l74+wfPZvbKuAEAAA==</v>
      </c>
    </row>
    <row r="152" spans="4:6" x14ac:dyDescent="0.3">
      <c r="D152" t="str">
        <v>2025-11-07T00:00:00Z</v>
      </c>
      <c r="E152" t="str">
        <v>BANXICO_M_BONOS_OTR</v>
      </c>
      <c r="F152" t="str">
        <v>H4sIAOW5B2kC/0WQSRIdMQxC7+J1V5cGhKR/tVTuHtybeOdnDEh/jp9fv/v/EIXnRH+YXpEzuYNlP2ftwzMTG6wpkPscH7nM66ZTSHag/DkZH7aadG9rH1sfcezlGZJnWzHCls+p6cu79dHNWeIjH/bnw1S9bi8WGoptz08vOWwNXbN2W7JuTeZcm4RFw6PU01oJq+Sgcg3GD/vyYqyqjOpiplxbcG5++tQ9lmTmxZrl/NzemEQgZL/A3AfH+cmX39C1GekIrTOvUdLxBrU7ONxHI8S0otOsZRYJRkdVaogbpZBkveg1I1XTceMtcBcFvEqC5HANkn//AUPInEvNAQAA</v>
      </c>
    </row>
    <row r="153" spans="4:6" x14ac:dyDescent="0.3">
      <c r="D153" t="str">
        <v>2025-11-08T00:00:00Z</v>
      </c>
      <c r="E153" t="str">
        <v>BANXICO_M_BONOS_OTR</v>
      </c>
      <c r="F153" t="str">
        <v>H4sIAOW5B2kC/zVRS64EQQi6S607Fb+oc7XJu/vDTqaWCAjW9+j51K2Y3+tWf47FwkhUZ6WpCaaf0/Wy03MMo+GYjOdo9eLt1GtkTXRqPccDi08JXyqAxoB4+ovDutpTptybPpnk9w1xd3qqpFjSh6LF3WmjOeAeBePUxuyLUGm1hBojkD9OHLertMASLZltzCnxGg1di4IwKakdKPJ85pIgVlbV4prJAWCraJGGo0o4EeygsIrOmA7TTbaVtWUWn2RVE/pGwdnNfJ1ULqTIJG5e05RYB5er3dgC2NsFXbkdLjyU4YpZcpOLyfZTMeX2iAvwD0wnVXsk//4Bjw0UtNABAAA=</v>
      </c>
    </row>
    <row r="154" spans="4:6" x14ac:dyDescent="0.3">
      <c r="D154" t="str">
        <v>2025-11-09T00:00:00Z</v>
      </c>
      <c r="E154" t="str">
        <v>BANXICO_M_BONOS_OTR</v>
      </c>
      <c r="F154" t="str">
        <v>H4sIAOW5B2kC/zVRyY3EMAzrxe/AkESd09pge18qwORJMuLh79HzqVs+v69b8Rzrhb0rZKQ0oRb6nHnV0Sauo/BwRz5HKxZPndBAQWPSKIfZ4o3KblKd7k49HK++JBtt1mMh8Zww3ukL86pSKNmBPycHi0car6gXwmPxsjfPQDQz3FJCZBhTXj1qQqqlR1q8mFP0NWixkulhsHDZAuxyPnNFlVQxEViCDtt8iWQpbA125I9LeLxE9wDpLIDy2C2ql6jJHDU6es4YJ8WeUrkeJkXbKbihd2ylu+oVqcoRygEJBk4rLmh6Jxye4h7cYh+IVZoBQq9GlNBVndn07x9yIMJF0gEAAA==</v>
      </c>
    </row>
    <row r="155" spans="4:6" x14ac:dyDescent="0.3">
      <c r="D155" t="str">
        <v>2025-12-02T00:00:00Z</v>
      </c>
      <c r="E155" t="str">
        <v>BANXICO_M_BONOS_OTR</v>
      </c>
      <c r="F155" t="str">
        <v>H4sIAOW5B2kC/z2RS44EMQhD75J1KQLMt682mruPqZYmiyxs8gDn5+j5zPX5P23dzzF7ZcmyyVYTs4nndKyMyUzhbYHseo5WvrpIxgDdY+rPgczKqtZaPVC4KOGI/mI83LPFtOGkh7Je5WpNu0SZiLTiOVn4GgPztBkdH7HnlLykBFylm+UdQpKqFF/ohYUMVZ+orNdRP5+UulAtUZQlhigOx+VCcEUqhT1Eae2TXhjKmYdx5FgZuoYzJmRdZubLgtj4GpFr+A3uIsm8GGFhc7VlsUuNMdVMA7eNDcvY3ww3Q6Hl6Vq6tPR+1/eL4F8ELyumzz77CdwmrlR5pLHUfPD7Bwvw6ozXAQAA</v>
      </c>
    </row>
    <row r="156" spans="4:6" x14ac:dyDescent="0.3">
      <c r="D156" t="str">
        <v>2025-12-03T00:00:00Z</v>
      </c>
      <c r="E156" t="str">
        <v>BANXICO_M_BONOS_OTR</v>
      </c>
      <c r="F156" t="str">
        <v>H4sIAOW5B2kC/z2QS44EMQhD75J1KQLz76u15u5jatFZGnDs9z16PnN9fq/R/RxgZWiUtZZCKrOe07GypJghHZXVxm2tPJ++g1bkeEp12DzHrF6bLDGXsJZSC+rRr4+LiGe5ZNr4c7Ll3bfNoYMUCfDbEqZUufRzV0mtRsTq/epeiI4wjbTsZCCp4UQvKjQx0QNGjp00s6pV3nn/rXYO98a09sbispmGocVbt92atcsNNnN4jbpu7VbnAH7NiSMjg7DWihA50L6CMREQI5YfYi9i/PbLtJSglghm+LkPIXKl6KI9RiIeRA7TS+8WdncLYHuwKeO6XxB7TC8WQP/+AUWy1AbTAQAA</v>
      </c>
    </row>
    <row r="157" spans="4:6" x14ac:dyDescent="0.3">
      <c r="D157" t="str">
        <v>2025-12-05T00:00:00Z</v>
      </c>
      <c r="E157" t="str">
        <v>BANXICO_M_BONOS_OTR</v>
      </c>
      <c r="F157" t="str">
        <v>H4sIAOW5B2kC/0VQuXEEMQzrZeMdDcGf15rnejcoB1Yk4RPInwfPZ478HxPJ91F/Pn1cvURbKgMof5+uC1tYerWLdYe9DwqLGywzVLPhIfo+hr7pqAKxoYMs8bCrr5nx9kntJMzMlSeYPVkgmUO4YtVpVE8HdG+Ee1Y9zeiKW2aEHSF69THRCoCpkMQSxakgJzqjWD0nJ5gEjSSBI/Q4OsGPYx21RekQTmLNIp5dlstkXUuJRwHusBUsc3/BaRUkGImQMd2d3jQ7rONaqnQ0tMmM/RUYYpI1MK0pMhyVaRpHQzBQ426sLHYaE1bI5L60EXxHSXx/AU+Ho/7SAQAA</v>
      </c>
    </row>
    <row r="158" spans="4:6" x14ac:dyDescent="0.3">
      <c r="D158" t="str">
        <v>2025-12-06T00:00:00Z</v>
      </c>
      <c r="E158" t="str">
        <v>BANXICO_M_BONOS_OTR</v>
      </c>
      <c r="F158" t="str">
        <v>H4sIAOW5B2kC/0WQS3IEMQhD7+J1lwvxZ66WmrtHdBbxUuAnoZ+D8+nr8//KnqO9qswI1Nsl0c+Zd1UcNpykVAzqOWhdHcJX7moWGK5byOraZLaHaqXkcxJ5PnMdYp1lguhwytEra9bktHiqjJBS8lLixYcGfSeDYcb/0jQNwSyteNOI24IYuhxt5TIaPAmqcT6QS0Yhq0C0Ozgp1f2SEWBaSKRVLKuMWYFLcnZEdDcavpN18SrhrxYr9FTxOvVlmZtdxaiaToRhKx2hv3bqtWFqpdrp24glYTDJ2+wWVdXy+gs745UyFwNWztDE4PsLDqtf17YBAAA=</v>
      </c>
    </row>
    <row r="159" spans="4:6" x14ac:dyDescent="0.3">
      <c r="D159" t="str">
        <v>2025-12-08T00:00:00Z</v>
      </c>
      <c r="E159" t="str">
        <v>BANXICO_M_BONOS_OTR</v>
      </c>
      <c r="F159" t="str">
        <v>H4sIAOW5B2kC/zVQSY4gMQz6S86lyAve6mut/vvgGnVyCtgE+Dl63rqF+Tvd6s8x/2CBW3VZiUzqczoXzq4GVBsikvYcrfrGm2/HmHaMSjzHEUsMTNRdzGOyCYd9sHsLx9Nbs4lHcLyvdzq8UMUtwjn/YaqLGaIyAarXuuybVhGdQo0sjlP2vHlbIiW4tJl66FLw6YwW0EPWRtaOauK8c5nRFN7gZRMkMnU3ykNCETaGKSxRsRsdJrAuH7jqEi29xEQsNOyDn32FrpTKTYHSwWQKY/ITY5dkjLGZrMo0qbpiycbOa3GbDYT6lHdBY6OY0gBwlZajIL2Z+vcfsLdaEtABAAA=</v>
      </c>
    </row>
    <row r="160" spans="4:6" x14ac:dyDescent="0.3">
      <c r="D160" t="str">
        <v>2025-12-09T00:00:00Z</v>
      </c>
      <c r="E160" t="str">
        <v>BANXICO_M_BONOS_OTR</v>
      </c>
      <c r="F160" t="str">
        <v>H4sIAOW5B2kC/zVQSY4gMQj7S86lEpjF0F9rzd/HKalziWIcL/wePz98mft3ZjyeA144Z6LKkhlkP2ftojXcROY4Rdjn6L54A90eDUuLfE7g0x6brDSgosYgPPHROYngRNO3JFOQzLxhVdPJJY2Qay8uXheSN6gsxecQX5zFoLxnlaiMN+XHTy8Wm6YCdvXd/DOgqFYhfqNDH9wjzs++prPbGJfcVfIOuwP6yNIDVO/OO8i8gyZLErFhrc3dVZDfj8Fl0lzrCA0QV8rtzRvGoRrrdGnJTu7urwlpKDHFpez10AaBF6sySuRsi8BXZRSg8GrhbrlBKET8+w95sOsX0AEAAA==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data_from_identifier</vt:lpstr>
      <vt:lpstr>Quantlib_example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Alatorre Sanchez</dc:creator>
  <cp:lastModifiedBy>Ameer Usman Ali Khan</cp:lastModifiedBy>
  <dcterms:created xsi:type="dcterms:W3CDTF">2025-12-22T16:03:11Z</dcterms:created>
  <dcterms:modified xsi:type="dcterms:W3CDTF">2026-01-19T16:04:07Z</dcterms:modified>
</cp:coreProperties>
</file>