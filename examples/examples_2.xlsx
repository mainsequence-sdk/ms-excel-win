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Upwork\msms_xloil\uv_test\ms-excel-win\examples\"/>
    </mc:Choice>
  </mc:AlternateContent>
  <xr:revisionPtr revIDLastSave="0" documentId="13_ncr:1_{C163C7A8-936C-442A-A980-9F8EEA91E84C}" xr6:coauthVersionLast="47" xr6:coauthVersionMax="47" xr10:uidLastSave="{00000000-0000-0000-0000-000000000000}"/>
  <bookViews>
    <workbookView xWindow="-108" yWindow="-108" windowWidth="23256" windowHeight="13176" xr2:uid="{3A9BCFE7-D97F-4DB8-8393-A5035DFE7468}"/>
  </bookViews>
  <sheets>
    <sheet name="data_from_identifier" sheetId="1" r:id="rId1"/>
    <sheet name="Quantlib_example" sheetId="2" r:id="rId2"/>
    <sheet name="CheckList" sheetId="4" r:id="rId3"/>
  </sheet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3" i="1" l="1"/>
  <c r="C17" i="1"/>
  <c r="D7" i="2"/>
  <c r="D8" i="2" s="1"/>
  <c r="C11" i="1"/>
  <c r="D11" i="1" s="1"/>
  <c r="B5" i="1" a="1"/>
  <c r="K9" i="2"/>
  <c r="H10" i="2" a="1"/>
  <c r="K10" i="2" a="1"/>
  <c r="B18" i="1" a="1"/>
  <c r="H12" i="1" a="1"/>
  <c r="D43" i="1"/>
  <c r="D17" i="1"/>
  <c r="H9" i="2"/>
  <c r="D171" i="2" a="1"/>
  <c r="B3" i="1"/>
  <c r="B44" i="1" a="1"/>
  <c r="D30" i="2" a="1"/>
  <c r="B5" i="1" l="1"/>
  <c r="B45" i="1"/>
  <c r="B53" i="1"/>
  <c r="C55" i="1"/>
  <c r="C45" i="1"/>
  <c r="C53" i="1"/>
  <c r="B46" i="1"/>
  <c r="B54" i="1"/>
  <c r="C46" i="1"/>
  <c r="C54" i="1"/>
  <c r="B47" i="1"/>
  <c r="B55" i="1"/>
  <c r="C47" i="1"/>
  <c r="B52" i="1"/>
  <c r="C52" i="1"/>
  <c r="B56" i="1"/>
  <c r="B57" i="1"/>
  <c r="B58" i="1"/>
  <c r="C58" i="1"/>
  <c r="C56" i="1"/>
  <c r="C57" i="1"/>
  <c r="B44" i="1"/>
  <c r="C44" i="1"/>
  <c r="C49" i="1"/>
  <c r="C60" i="1"/>
  <c r="B50" i="1"/>
  <c r="C50" i="1"/>
  <c r="C59" i="1"/>
  <c r="B60" i="1"/>
  <c r="B48" i="1"/>
  <c r="B59" i="1"/>
  <c r="C51" i="1"/>
  <c r="C48" i="1"/>
  <c r="B49" i="1"/>
  <c r="B51" i="1"/>
  <c r="B25" i="1"/>
  <c r="B33" i="1"/>
  <c r="B26" i="1"/>
  <c r="C25" i="1"/>
  <c r="C33" i="1"/>
  <c r="B18" i="1"/>
  <c r="B34" i="1"/>
  <c r="C27" i="1"/>
  <c r="C35" i="1"/>
  <c r="C18" i="1"/>
  <c r="C26" i="1"/>
  <c r="C34" i="1"/>
  <c r="B19" i="1"/>
  <c r="B27" i="1"/>
  <c r="B35" i="1"/>
  <c r="C19" i="1"/>
  <c r="C21" i="1"/>
  <c r="C32" i="1"/>
  <c r="B37" i="1"/>
  <c r="C23" i="1"/>
  <c r="B24" i="1"/>
  <c r="C38" i="1"/>
  <c r="B39" i="1"/>
  <c r="B22" i="1"/>
  <c r="B36" i="1"/>
  <c r="C24" i="1"/>
  <c r="B28" i="1"/>
  <c r="C22" i="1"/>
  <c r="C36" i="1"/>
  <c r="B23" i="1"/>
  <c r="C37" i="1"/>
  <c r="B38" i="1"/>
  <c r="B30" i="1"/>
  <c r="C30" i="1"/>
  <c r="B20" i="1"/>
  <c r="B31" i="1"/>
  <c r="B29" i="1"/>
  <c r="C39" i="1"/>
  <c r="C20" i="1"/>
  <c r="C29" i="1"/>
  <c r="C28" i="1"/>
  <c r="B21" i="1"/>
  <c r="C31" i="1"/>
  <c r="B32" i="1"/>
  <c r="K11" i="2"/>
  <c r="K19" i="2"/>
  <c r="K15" i="2"/>
  <c r="L23" i="2"/>
  <c r="L15" i="2"/>
  <c r="K24" i="2"/>
  <c r="K13" i="2"/>
  <c r="L22" i="2"/>
  <c r="L13" i="2"/>
  <c r="K23" i="2"/>
  <c r="K14" i="2"/>
  <c r="L24" i="2"/>
  <c r="L10" i="2"/>
  <c r="K22" i="2"/>
  <c r="L11" i="2"/>
  <c r="K12" i="2"/>
  <c r="L12" i="2"/>
  <c r="L14" i="2"/>
  <c r="K16" i="2"/>
  <c r="K10" i="2"/>
  <c r="L16" i="2"/>
  <c r="K17" i="2"/>
  <c r="L17" i="2"/>
  <c r="K18" i="2"/>
  <c r="L19" i="2"/>
  <c r="L21" i="2"/>
  <c r="K21" i="2"/>
  <c r="L18" i="2"/>
  <c r="K20" i="2"/>
  <c r="L20" i="2"/>
  <c r="F174" i="2"/>
  <c r="D180" i="2"/>
  <c r="E185" i="2"/>
  <c r="F190" i="2"/>
  <c r="D196" i="2"/>
  <c r="E201" i="2"/>
  <c r="F206" i="2"/>
  <c r="D212" i="2"/>
  <c r="E217" i="2"/>
  <c r="F222" i="2"/>
  <c r="D228" i="2"/>
  <c r="E233" i="2"/>
  <c r="F238" i="2"/>
  <c r="D244" i="2"/>
  <c r="E249" i="2"/>
  <c r="F254" i="2"/>
  <c r="D260" i="2"/>
  <c r="E265" i="2"/>
  <c r="F270" i="2"/>
  <c r="D276" i="2"/>
  <c r="E281" i="2"/>
  <c r="F286" i="2"/>
  <c r="D292" i="2"/>
  <c r="E297" i="2"/>
  <c r="F302" i="2"/>
  <c r="D308" i="2"/>
  <c r="E313" i="2"/>
  <c r="F318" i="2"/>
  <c r="D324" i="2"/>
  <c r="E329" i="2"/>
  <c r="F334" i="2"/>
  <c r="D175" i="2"/>
  <c r="E180" i="2"/>
  <c r="F185" i="2"/>
  <c r="D191" i="2"/>
  <c r="E196" i="2"/>
  <c r="F201" i="2"/>
  <c r="D207" i="2"/>
  <c r="E212" i="2"/>
  <c r="F217" i="2"/>
  <c r="D223" i="2"/>
  <c r="E228" i="2"/>
  <c r="F233" i="2"/>
  <c r="D239" i="2"/>
  <c r="E244" i="2"/>
  <c r="F249" i="2"/>
  <c r="E175" i="2"/>
  <c r="F180" i="2"/>
  <c r="D186" i="2"/>
  <c r="E191" i="2"/>
  <c r="F196" i="2"/>
  <c r="D202" i="2"/>
  <c r="E207" i="2"/>
  <c r="F212" i="2"/>
  <c r="D218" i="2"/>
  <c r="E223" i="2"/>
  <c r="F228" i="2"/>
  <c r="D234" i="2"/>
  <c r="E239" i="2"/>
  <c r="F244" i="2"/>
  <c r="D250" i="2"/>
  <c r="E255" i="2"/>
  <c r="F260" i="2"/>
  <c r="D266" i="2"/>
  <c r="E271" i="2"/>
  <c r="F276" i="2"/>
  <c r="D282" i="2"/>
  <c r="E287" i="2"/>
  <c r="F292" i="2"/>
  <c r="D298" i="2"/>
  <c r="E303" i="2"/>
  <c r="F308" i="2"/>
  <c r="D314" i="2"/>
  <c r="E319" i="2"/>
  <c r="F324" i="2"/>
  <c r="D330" i="2"/>
  <c r="E335" i="2"/>
  <c r="F340" i="2"/>
  <c r="D346" i="2"/>
  <c r="E351" i="2"/>
  <c r="F356" i="2"/>
  <c r="D362" i="2"/>
  <c r="E367" i="2"/>
  <c r="F372" i="2"/>
  <c r="D378" i="2"/>
  <c r="E383" i="2"/>
  <c r="F388" i="2"/>
  <c r="D394" i="2"/>
  <c r="E399" i="2"/>
  <c r="F404" i="2"/>
  <c r="D410" i="2"/>
  <c r="E415" i="2"/>
  <c r="F420" i="2"/>
  <c r="D426" i="2"/>
  <c r="E431" i="2"/>
  <c r="F436" i="2"/>
  <c r="E172" i="2"/>
  <c r="F178" i="2"/>
  <c r="D185" i="2"/>
  <c r="E192" i="2"/>
  <c r="F198" i="2"/>
  <c r="D205" i="2"/>
  <c r="E211" i="2"/>
  <c r="F218" i="2"/>
  <c r="D225" i="2"/>
  <c r="E231" i="2"/>
  <c r="F237" i="2"/>
  <c r="D245" i="2"/>
  <c r="E251" i="2"/>
  <c r="E257" i="2"/>
  <c r="E263" i="2"/>
  <c r="E269" i="2"/>
  <c r="E275" i="2"/>
  <c r="F281" i="2"/>
  <c r="D288" i="2"/>
  <c r="D294" i="2"/>
  <c r="D300" i="2"/>
  <c r="D306" i="2"/>
  <c r="D312" i="2"/>
  <c r="D318" i="2"/>
  <c r="E324" i="2"/>
  <c r="F330" i="2"/>
  <c r="F336" i="2"/>
  <c r="E342" i="2"/>
  <c r="D348" i="2"/>
  <c r="F353" i="2"/>
  <c r="E359" i="2"/>
  <c r="D365" i="2"/>
  <c r="F370" i="2"/>
  <c r="E376" i="2"/>
  <c r="D382" i="2"/>
  <c r="F387" i="2"/>
  <c r="E393" i="2"/>
  <c r="D399" i="2"/>
  <c r="D405" i="2"/>
  <c r="F410" i="2"/>
  <c r="E416" i="2"/>
  <c r="D422" i="2"/>
  <c r="F427" i="2"/>
  <c r="E433" i="2"/>
  <c r="D439" i="2"/>
  <c r="F172" i="2"/>
  <c r="D179" i="2"/>
  <c r="E186" i="2"/>
  <c r="F192" i="2"/>
  <c r="D199" i="2"/>
  <c r="E205" i="2"/>
  <c r="F211" i="2"/>
  <c r="D219" i="2"/>
  <c r="E225" i="2"/>
  <c r="F231" i="2"/>
  <c r="D238" i="2"/>
  <c r="E245" i="2"/>
  <c r="F251" i="2"/>
  <c r="F257" i="2"/>
  <c r="F263" i="2"/>
  <c r="F269" i="2"/>
  <c r="F275" i="2"/>
  <c r="E282" i="2"/>
  <c r="E288" i="2"/>
  <c r="E294" i="2"/>
  <c r="E300" i="2"/>
  <c r="E306" i="2"/>
  <c r="E312" i="2"/>
  <c r="E318" i="2"/>
  <c r="D325" i="2"/>
  <c r="D331" i="2"/>
  <c r="D337" i="2"/>
  <c r="F342" i="2"/>
  <c r="E348" i="2"/>
  <c r="D354" i="2"/>
  <c r="F359" i="2"/>
  <c r="E365" i="2"/>
  <c r="D371" i="2"/>
  <c r="F376" i="2"/>
  <c r="E382" i="2"/>
  <c r="D388" i="2"/>
  <c r="F393" i="2"/>
  <c r="F399" i="2"/>
  <c r="E405" i="2"/>
  <c r="D411" i="2"/>
  <c r="F416" i="2"/>
  <c r="E422" i="2"/>
  <c r="D428" i="2"/>
  <c r="F433" i="2"/>
  <c r="E439" i="2"/>
  <c r="D173" i="2"/>
  <c r="E179" i="2"/>
  <c r="F186" i="2"/>
  <c r="D193" i="2"/>
  <c r="E199" i="2"/>
  <c r="F205" i="2"/>
  <c r="D213" i="2"/>
  <c r="E219" i="2"/>
  <c r="F225" i="2"/>
  <c r="D232" i="2"/>
  <c r="E238" i="2"/>
  <c r="F245" i="2"/>
  <c r="E176" i="2"/>
  <c r="F183" i="2"/>
  <c r="D192" i="2"/>
  <c r="E200" i="2"/>
  <c r="F208" i="2"/>
  <c r="D216" i="2"/>
  <c r="E224" i="2"/>
  <c r="F232" i="2"/>
  <c r="D241" i="2"/>
  <c r="E248" i="2"/>
  <c r="D256" i="2"/>
  <c r="F262" i="2"/>
  <c r="D270" i="2"/>
  <c r="E277" i="2"/>
  <c r="D284" i="2"/>
  <c r="F290" i="2"/>
  <c r="F297" i="2"/>
  <c r="F304" i="2"/>
  <c r="E311" i="2"/>
  <c r="D319" i="2"/>
  <c r="D326" i="2"/>
  <c r="F332" i="2"/>
  <c r="E339" i="2"/>
  <c r="F345" i="2"/>
  <c r="E352" i="2"/>
  <c r="F358" i="2"/>
  <c r="F365" i="2"/>
  <c r="D372" i="2"/>
  <c r="F378" i="2"/>
  <c r="D385" i="2"/>
  <c r="E391" i="2"/>
  <c r="F397" i="2"/>
  <c r="D404" i="2"/>
  <c r="E411" i="2"/>
  <c r="F417" i="2"/>
  <c r="D424" i="2"/>
  <c r="E430" i="2"/>
  <c r="D437" i="2"/>
  <c r="F176" i="2"/>
  <c r="D184" i="2"/>
  <c r="E193" i="2"/>
  <c r="F200" i="2"/>
  <c r="D209" i="2"/>
  <c r="E216" i="2"/>
  <c r="F224" i="2"/>
  <c r="D233" i="2"/>
  <c r="E241" i="2"/>
  <c r="F248" i="2"/>
  <c r="E256" i="2"/>
  <c r="D263" i="2"/>
  <c r="E270" i="2"/>
  <c r="F277" i="2"/>
  <c r="E284" i="2"/>
  <c r="D291" i="2"/>
  <c r="E298" i="2"/>
  <c r="D305" i="2"/>
  <c r="F311" i="2"/>
  <c r="F319" i="2"/>
  <c r="E326" i="2"/>
  <c r="D333" i="2"/>
  <c r="F339" i="2"/>
  <c r="E346" i="2"/>
  <c r="F352" i="2"/>
  <c r="D359" i="2"/>
  <c r="D366" i="2"/>
  <c r="E372" i="2"/>
  <c r="D379" i="2"/>
  <c r="E385" i="2"/>
  <c r="F391" i="2"/>
  <c r="D398" i="2"/>
  <c r="E404" i="2"/>
  <c r="F411" i="2"/>
  <c r="D418" i="2"/>
  <c r="E424" i="2"/>
  <c r="F430" i="2"/>
  <c r="E437" i="2"/>
  <c r="D177" i="2"/>
  <c r="E184" i="2"/>
  <c r="F193" i="2"/>
  <c r="D201" i="2"/>
  <c r="E209" i="2"/>
  <c r="F216" i="2"/>
  <c r="D226" i="2"/>
  <c r="E234" i="2"/>
  <c r="F241" i="2"/>
  <c r="D249" i="2"/>
  <c r="F256" i="2"/>
  <c r="D264" i="2"/>
  <c r="D271" i="2"/>
  <c r="D278" i="2"/>
  <c r="F284" i="2"/>
  <c r="E291" i="2"/>
  <c r="F298" i="2"/>
  <c r="E305" i="2"/>
  <c r="F312" i="2"/>
  <c r="D320" i="2"/>
  <c r="F326" i="2"/>
  <c r="E333" i="2"/>
  <c r="D340" i="2"/>
  <c r="F346" i="2"/>
  <c r="D353" i="2"/>
  <c r="D360" i="2"/>
  <c r="E366" i="2"/>
  <c r="D373" i="2"/>
  <c r="E379" i="2"/>
  <c r="F385" i="2"/>
  <c r="D392" i="2"/>
  <c r="E398" i="2"/>
  <c r="F405" i="2"/>
  <c r="D412" i="2"/>
  <c r="E418" i="2"/>
  <c r="F424" i="2"/>
  <c r="D431" i="2"/>
  <c r="F437" i="2"/>
  <c r="E177" i="2"/>
  <c r="F184" i="2"/>
  <c r="D194" i="2"/>
  <c r="E202" i="2"/>
  <c r="F209" i="2"/>
  <c r="D217" i="2"/>
  <c r="E226" i="2"/>
  <c r="F234" i="2"/>
  <c r="D242" i="2"/>
  <c r="E250" i="2"/>
  <c r="D257" i="2"/>
  <c r="E264" i="2"/>
  <c r="F271" i="2"/>
  <c r="E278" i="2"/>
  <c r="D285" i="2"/>
  <c r="F291" i="2"/>
  <c r="D299" i="2"/>
  <c r="F305" i="2"/>
  <c r="D313" i="2"/>
  <c r="E320" i="2"/>
  <c r="D327" i="2"/>
  <c r="F333" i="2"/>
  <c r="E340" i="2"/>
  <c r="D347" i="2"/>
  <c r="E353" i="2"/>
  <c r="F177" i="2"/>
  <c r="D187" i="2"/>
  <c r="E194" i="2"/>
  <c r="F202" i="2"/>
  <c r="D210" i="2"/>
  <c r="E218" i="2"/>
  <c r="F226" i="2"/>
  <c r="D235" i="2"/>
  <c r="E242" i="2"/>
  <c r="F250" i="2"/>
  <c r="D258" i="2"/>
  <c r="F264" i="2"/>
  <c r="D272" i="2"/>
  <c r="F278" i="2"/>
  <c r="E285" i="2"/>
  <c r="E292" i="2"/>
  <c r="E299" i="2"/>
  <c r="F306" i="2"/>
  <c r="F313" i="2"/>
  <c r="F320" i="2"/>
  <c r="E327" i="2"/>
  <c r="D334" i="2"/>
  <c r="D341" i="2"/>
  <c r="E173" i="2"/>
  <c r="E183" i="2"/>
  <c r="D197" i="2"/>
  <c r="D208" i="2"/>
  <c r="F220" i="2"/>
  <c r="F230" i="2"/>
  <c r="E243" i="2"/>
  <c r="D254" i="2"/>
  <c r="F265" i="2"/>
  <c r="E274" i="2"/>
  <c r="F285" i="2"/>
  <c r="E295" i="2"/>
  <c r="E304" i="2"/>
  <c r="F315" i="2"/>
  <c r="E325" i="2"/>
  <c r="D336" i="2"/>
  <c r="F344" i="2"/>
  <c r="F354" i="2"/>
  <c r="E362" i="2"/>
  <c r="F369" i="2"/>
  <c r="F377" i="2"/>
  <c r="E386" i="2"/>
  <c r="F394" i="2"/>
  <c r="D402" i="2"/>
  <c r="E409" i="2"/>
  <c r="F418" i="2"/>
  <c r="E426" i="2"/>
  <c r="E434" i="2"/>
  <c r="F173" i="2"/>
  <c r="E187" i="2"/>
  <c r="E197" i="2"/>
  <c r="E208" i="2"/>
  <c r="D221" i="2"/>
  <c r="D231" i="2"/>
  <c r="F243" i="2"/>
  <c r="E254" i="2"/>
  <c r="E266" i="2"/>
  <c r="F274" i="2"/>
  <c r="D286" i="2"/>
  <c r="F295" i="2"/>
  <c r="D307" i="2"/>
  <c r="D316" i="2"/>
  <c r="F325" i="2"/>
  <c r="E336" i="2"/>
  <c r="D345" i="2"/>
  <c r="D355" i="2"/>
  <c r="F362" i="2"/>
  <c r="D370" i="2"/>
  <c r="E378" i="2"/>
  <c r="F386" i="2"/>
  <c r="D395" i="2"/>
  <c r="E402" i="2"/>
  <c r="F409" i="2"/>
  <c r="D419" i="2"/>
  <c r="F426" i="2"/>
  <c r="F434" i="2"/>
  <c r="D174" i="2"/>
  <c r="F187" i="2"/>
  <c r="F197" i="2"/>
  <c r="E210" i="2"/>
  <c r="E221" i="2"/>
  <c r="E232" i="2"/>
  <c r="D246" i="2"/>
  <c r="D255" i="2"/>
  <c r="F266" i="2"/>
  <c r="D275" i="2"/>
  <c r="E286" i="2"/>
  <c r="D296" i="2"/>
  <c r="E307" i="2"/>
  <c r="E316" i="2"/>
  <c r="F327" i="2"/>
  <c r="E337" i="2"/>
  <c r="E345" i="2"/>
  <c r="E355" i="2"/>
  <c r="D363" i="2"/>
  <c r="E370" i="2"/>
  <c r="F379" i="2"/>
  <c r="D387" i="2"/>
  <c r="E395" i="2"/>
  <c r="F402" i="2"/>
  <c r="E410" i="2"/>
  <c r="E419" i="2"/>
  <c r="D427" i="2"/>
  <c r="D435" i="2"/>
  <c r="E174" i="2"/>
  <c r="D188" i="2"/>
  <c r="D198" i="2"/>
  <c r="F210" i="2"/>
  <c r="F221" i="2"/>
  <c r="E235" i="2"/>
  <c r="E246" i="2"/>
  <c r="F255" i="2"/>
  <c r="D267" i="2"/>
  <c r="E276" i="2"/>
  <c r="D287" i="2"/>
  <c r="E296" i="2"/>
  <c r="F307" i="2"/>
  <c r="F316" i="2"/>
  <c r="D328" i="2"/>
  <c r="F337" i="2"/>
  <c r="E347" i="2"/>
  <c r="F355" i="2"/>
  <c r="E363" i="2"/>
  <c r="E371" i="2"/>
  <c r="D380" i="2"/>
  <c r="E387" i="2"/>
  <c r="F395" i="2"/>
  <c r="D403" i="2"/>
  <c r="E412" i="2"/>
  <c r="F419" i="2"/>
  <c r="E427" i="2"/>
  <c r="E435" i="2"/>
  <c r="F175" i="2"/>
  <c r="E188" i="2"/>
  <c r="E198" i="2"/>
  <c r="D211" i="2"/>
  <c r="D222" i="2"/>
  <c r="F235" i="2"/>
  <c r="F246" i="2"/>
  <c r="E258" i="2"/>
  <c r="E267" i="2"/>
  <c r="D277" i="2"/>
  <c r="F287" i="2"/>
  <c r="F296" i="2"/>
  <c r="E308" i="2"/>
  <c r="D317" i="2"/>
  <c r="E328" i="2"/>
  <c r="D338" i="2"/>
  <c r="F347" i="2"/>
  <c r="D356" i="2"/>
  <c r="F363" i="2"/>
  <c r="F371" i="2"/>
  <c r="E380" i="2"/>
  <c r="E388" i="2"/>
  <c r="D396" i="2"/>
  <c r="E403" i="2"/>
  <c r="F412" i="2"/>
  <c r="D420" i="2"/>
  <c r="E428" i="2"/>
  <c r="F435" i="2"/>
  <c r="D176" i="2"/>
  <c r="F188" i="2"/>
  <c r="F199" i="2"/>
  <c r="E213" i="2"/>
  <c r="E222" i="2"/>
  <c r="D236" i="2"/>
  <c r="D247" i="2"/>
  <c r="F258" i="2"/>
  <c r="F267" i="2"/>
  <c r="D279" i="2"/>
  <c r="F288" i="2"/>
  <c r="D297" i="2"/>
  <c r="D309" i="2"/>
  <c r="E317" i="2"/>
  <c r="F328" i="2"/>
  <c r="E338" i="2"/>
  <c r="F348" i="2"/>
  <c r="E356" i="2"/>
  <c r="D364" i="2"/>
  <c r="E373" i="2"/>
  <c r="F380" i="2"/>
  <c r="D389" i="2"/>
  <c r="E396" i="2"/>
  <c r="F403" i="2"/>
  <c r="D413" i="2"/>
  <c r="E420" i="2"/>
  <c r="F428" i="2"/>
  <c r="D436" i="2"/>
  <c r="E182" i="2"/>
  <c r="F203" i="2"/>
  <c r="E220" i="2"/>
  <c r="D240" i="2"/>
  <c r="E259" i="2"/>
  <c r="E273" i="2"/>
  <c r="D290" i="2"/>
  <c r="D304" i="2"/>
  <c r="E322" i="2"/>
  <c r="D339" i="2"/>
  <c r="F351" i="2"/>
  <c r="D367" i="2"/>
  <c r="E377" i="2"/>
  <c r="D391" i="2"/>
  <c r="E406" i="2"/>
  <c r="D416" i="2"/>
  <c r="D430" i="2"/>
  <c r="F182" i="2"/>
  <c r="D204" i="2"/>
  <c r="F223" i="2"/>
  <c r="E240" i="2"/>
  <c r="F259" i="2"/>
  <c r="F273" i="2"/>
  <c r="E290" i="2"/>
  <c r="E309" i="2"/>
  <c r="F322" i="2"/>
  <c r="E341" i="2"/>
  <c r="D352" i="2"/>
  <c r="F367" i="2"/>
  <c r="D381" i="2"/>
  <c r="E392" i="2"/>
  <c r="F406" i="2"/>
  <c r="D417" i="2"/>
  <c r="F431" i="2"/>
  <c r="D183" i="2"/>
  <c r="E204" i="2"/>
  <c r="D224" i="2"/>
  <c r="F240" i="2"/>
  <c r="E260" i="2"/>
  <c r="D274" i="2"/>
  <c r="D293" i="2"/>
  <c r="F309" i="2"/>
  <c r="D323" i="2"/>
  <c r="F341" i="2"/>
  <c r="E354" i="2"/>
  <c r="D368" i="2"/>
  <c r="E381" i="2"/>
  <c r="F392" i="2"/>
  <c r="D407" i="2"/>
  <c r="E417" i="2"/>
  <c r="D432" i="2"/>
  <c r="D189" i="2"/>
  <c r="F204" i="2"/>
  <c r="D227" i="2"/>
  <c r="F242" i="2"/>
  <c r="D261" i="2"/>
  <c r="E279" i="2"/>
  <c r="E293" i="2"/>
  <c r="D310" i="2"/>
  <c r="E323" i="2"/>
  <c r="D342" i="2"/>
  <c r="D357" i="2"/>
  <c r="E368" i="2"/>
  <c r="F381" i="2"/>
  <c r="D393" i="2"/>
  <c r="E407" i="2"/>
  <c r="D421" i="2"/>
  <c r="E432" i="2"/>
  <c r="E189" i="2"/>
  <c r="D206" i="2"/>
  <c r="E227" i="2"/>
  <c r="D243" i="2"/>
  <c r="E261" i="2"/>
  <c r="F279" i="2"/>
  <c r="F293" i="2"/>
  <c r="E310" i="2"/>
  <c r="F323" i="2"/>
  <c r="D343" i="2"/>
  <c r="E357" i="2"/>
  <c r="F368" i="2"/>
  <c r="F382" i="2"/>
  <c r="E394" i="2"/>
  <c r="F407" i="2"/>
  <c r="E421" i="2"/>
  <c r="F432" i="2"/>
  <c r="D171" i="2"/>
  <c r="D195" i="2"/>
  <c r="D220" i="2"/>
  <c r="D252" i="2"/>
  <c r="F272" i="2"/>
  <c r="F300" i="2"/>
  <c r="E321" i="2"/>
  <c r="D344" i="2"/>
  <c r="F361" i="2"/>
  <c r="F383" i="2"/>
  <c r="F400" i="2"/>
  <c r="F421" i="2"/>
  <c r="F438" i="2"/>
  <c r="E171" i="2"/>
  <c r="E195" i="2"/>
  <c r="F227" i="2"/>
  <c r="E252" i="2"/>
  <c r="D273" i="2"/>
  <c r="D301" i="2"/>
  <c r="F321" i="2"/>
  <c r="E344" i="2"/>
  <c r="E364" i="2"/>
  <c r="D384" i="2"/>
  <c r="D401" i="2"/>
  <c r="F422" i="2"/>
  <c r="F439" i="2"/>
  <c r="F171" i="2"/>
  <c r="F195" i="2"/>
  <c r="D229" i="2"/>
  <c r="F252" i="2"/>
  <c r="D280" i="2"/>
  <c r="E301" i="2"/>
  <c r="D322" i="2"/>
  <c r="D349" i="2"/>
  <c r="F364" i="2"/>
  <c r="E384" i="2"/>
  <c r="E401" i="2"/>
  <c r="D423" i="2"/>
  <c r="D440" i="2"/>
  <c r="D172" i="2"/>
  <c r="D200" i="2"/>
  <c r="E229" i="2"/>
  <c r="D253" i="2"/>
  <c r="E280" i="2"/>
  <c r="F301" i="2"/>
  <c r="D329" i="2"/>
  <c r="E349" i="2"/>
  <c r="F366" i="2"/>
  <c r="F384" i="2"/>
  <c r="F401" i="2"/>
  <c r="E423" i="2"/>
  <c r="E440" i="2"/>
  <c r="D178" i="2"/>
  <c r="D203" i="2"/>
  <c r="F229" i="2"/>
  <c r="E253" i="2"/>
  <c r="F280" i="2"/>
  <c r="D302" i="2"/>
  <c r="F329" i="2"/>
  <c r="F349" i="2"/>
  <c r="D369" i="2"/>
  <c r="D386" i="2"/>
  <c r="D406" i="2"/>
  <c r="F423" i="2"/>
  <c r="F440" i="2"/>
  <c r="D181" i="2"/>
  <c r="F207" i="2"/>
  <c r="E236" i="2"/>
  <c r="F261" i="2"/>
  <c r="D283" i="2"/>
  <c r="F303" i="2"/>
  <c r="F331" i="2"/>
  <c r="F350" i="2"/>
  <c r="D374" i="2"/>
  <c r="D390" i="2"/>
  <c r="F408" i="2"/>
  <c r="F425" i="2"/>
  <c r="F189" i="2"/>
  <c r="F214" i="2"/>
  <c r="F239" i="2"/>
  <c r="D268" i="2"/>
  <c r="E289" i="2"/>
  <c r="F314" i="2"/>
  <c r="D335" i="2"/>
  <c r="E358" i="2"/>
  <c r="E375" i="2"/>
  <c r="D397" i="2"/>
  <c r="D414" i="2"/>
  <c r="D433" i="2"/>
  <c r="E178" i="2"/>
  <c r="F215" i="2"/>
  <c r="E268" i="2"/>
  <c r="D311" i="2"/>
  <c r="E350" i="2"/>
  <c r="D383" i="2"/>
  <c r="F414" i="2"/>
  <c r="F179" i="2"/>
  <c r="F219" i="2"/>
  <c r="F268" i="2"/>
  <c r="E314" i="2"/>
  <c r="D351" i="2"/>
  <c r="E389" i="2"/>
  <c r="D415" i="2"/>
  <c r="E181" i="2"/>
  <c r="D230" i="2"/>
  <c r="D269" i="2"/>
  <c r="D315" i="2"/>
  <c r="F357" i="2"/>
  <c r="F389" i="2"/>
  <c r="F415" i="2"/>
  <c r="F181" i="2"/>
  <c r="E230" i="2"/>
  <c r="E272" i="2"/>
  <c r="E315" i="2"/>
  <c r="D358" i="2"/>
  <c r="E390" i="2"/>
  <c r="D425" i="2"/>
  <c r="D182" i="2"/>
  <c r="F236" i="2"/>
  <c r="D281" i="2"/>
  <c r="F317" i="2"/>
  <c r="E360" i="2"/>
  <c r="F390" i="2"/>
  <c r="E425" i="2"/>
  <c r="F194" i="2"/>
  <c r="F247" i="2"/>
  <c r="D289" i="2"/>
  <c r="D332" i="2"/>
  <c r="E369" i="2"/>
  <c r="D400" i="2"/>
  <c r="D434" i="2"/>
  <c r="F213" i="2"/>
  <c r="F253" i="2"/>
  <c r="D295" i="2"/>
  <c r="F335" i="2"/>
  <c r="F374" i="2"/>
  <c r="E408" i="2"/>
  <c r="E438" i="2"/>
  <c r="D190" i="2"/>
  <c r="E262" i="2"/>
  <c r="F338" i="2"/>
  <c r="E400" i="2"/>
  <c r="E190" i="2"/>
  <c r="D265" i="2"/>
  <c r="E343" i="2"/>
  <c r="D408" i="2"/>
  <c r="F191" i="2"/>
  <c r="F282" i="2"/>
  <c r="F343" i="2"/>
  <c r="D409" i="2"/>
  <c r="E203" i="2"/>
  <c r="E283" i="2"/>
  <c r="D350" i="2"/>
  <c r="E413" i="2"/>
  <c r="E206" i="2"/>
  <c r="F283" i="2"/>
  <c r="F360" i="2"/>
  <c r="F413" i="2"/>
  <c r="D214" i="2"/>
  <c r="F289" i="2"/>
  <c r="D361" i="2"/>
  <c r="E414" i="2"/>
  <c r="E247" i="2"/>
  <c r="D321" i="2"/>
  <c r="D376" i="2"/>
  <c r="E214" i="2"/>
  <c r="E332" i="2"/>
  <c r="D215" i="2"/>
  <c r="E334" i="2"/>
  <c r="E215" i="2"/>
  <c r="E361" i="2"/>
  <c r="D237" i="2"/>
  <c r="F373" i="2"/>
  <c r="E237" i="2"/>
  <c r="E374" i="2"/>
  <c r="D251" i="2"/>
  <c r="F375" i="2"/>
  <c r="D248" i="2"/>
  <c r="E429" i="2"/>
  <c r="D259" i="2"/>
  <c r="F429" i="2"/>
  <c r="D262" i="2"/>
  <c r="E436" i="2"/>
  <c r="F294" i="2"/>
  <c r="D438" i="2"/>
  <c r="E302" i="2"/>
  <c r="D303" i="2"/>
  <c r="F310" i="2"/>
  <c r="F299" i="2"/>
  <c r="E330" i="2"/>
  <c r="E331" i="2"/>
  <c r="D375" i="2"/>
  <c r="D377" i="2"/>
  <c r="D429" i="2"/>
  <c r="F396" i="2"/>
  <c r="E397" i="2"/>
  <c r="F398" i="2"/>
  <c r="I10" i="2"/>
  <c r="I18" i="2"/>
  <c r="I15" i="2"/>
  <c r="H24" i="2"/>
  <c r="H16" i="2"/>
  <c r="I24" i="2"/>
  <c r="I16" i="2"/>
  <c r="H17" i="2"/>
  <c r="H19" i="2"/>
  <c r="H10" i="2"/>
  <c r="H21" i="2"/>
  <c r="H11" i="2"/>
  <c r="I21" i="2"/>
  <c r="H14" i="2"/>
  <c r="I14" i="2"/>
  <c r="H15" i="2"/>
  <c r="I17" i="2"/>
  <c r="H18" i="2"/>
  <c r="I13" i="2"/>
  <c r="I19" i="2"/>
  <c r="H20" i="2"/>
  <c r="I20" i="2"/>
  <c r="H22" i="2"/>
  <c r="I23" i="2"/>
  <c r="I11" i="2"/>
  <c r="H12" i="2"/>
  <c r="I12" i="2"/>
  <c r="H13" i="2"/>
  <c r="H23" i="2"/>
  <c r="I22" i="2"/>
  <c r="D30" i="2"/>
  <c r="H12" i="1"/>
  <c r="F160" i="2"/>
  <c r="E160" i="2"/>
  <c r="D160" i="2"/>
  <c r="F159" i="2"/>
  <c r="E159" i="2"/>
  <c r="D159" i="2"/>
  <c r="F158" i="2"/>
  <c r="E158" i="2"/>
  <c r="D158" i="2"/>
  <c r="F157" i="2"/>
  <c r="E157" i="2"/>
  <c r="D157" i="2"/>
  <c r="F156" i="2"/>
  <c r="E156" i="2"/>
  <c r="D156" i="2"/>
  <c r="F155" i="2"/>
  <c r="E155" i="2"/>
  <c r="D155" i="2"/>
  <c r="F154" i="2"/>
  <c r="E154" i="2"/>
  <c r="D154" i="2"/>
  <c r="F153" i="2"/>
  <c r="E153" i="2"/>
  <c r="D153" i="2"/>
  <c r="F152" i="2"/>
  <c r="E152" i="2"/>
  <c r="D152" i="2"/>
  <c r="F151" i="2"/>
  <c r="E151" i="2"/>
  <c r="D151" i="2"/>
  <c r="F150" i="2"/>
  <c r="E150" i="2"/>
  <c r="D150" i="2"/>
  <c r="F149" i="2"/>
  <c r="E149" i="2"/>
  <c r="D149" i="2"/>
  <c r="F148" i="2"/>
  <c r="E148" i="2"/>
  <c r="D148" i="2"/>
  <c r="F147" i="2"/>
  <c r="E147" i="2"/>
  <c r="D147" i="2"/>
  <c r="F146" i="2"/>
  <c r="E146" i="2"/>
  <c r="D146" i="2"/>
  <c r="F145" i="2"/>
  <c r="E145" i="2"/>
  <c r="D145" i="2"/>
  <c r="F144" i="2"/>
  <c r="E144" i="2"/>
  <c r="D144" i="2"/>
  <c r="F143" i="2"/>
  <c r="E143" i="2"/>
  <c r="D143" i="2"/>
  <c r="F142" i="2"/>
  <c r="E142" i="2"/>
  <c r="D142" i="2"/>
  <c r="F141" i="2"/>
  <c r="E141" i="2"/>
  <c r="D141" i="2"/>
  <c r="F140" i="2"/>
  <c r="E140" i="2"/>
  <c r="D140" i="2"/>
  <c r="F139" i="2"/>
  <c r="E139" i="2"/>
  <c r="D139" i="2"/>
  <c r="F138" i="2"/>
  <c r="E138" i="2"/>
  <c r="D138" i="2"/>
  <c r="F137" i="2"/>
  <c r="E137" i="2"/>
  <c r="D137" i="2"/>
  <c r="F136" i="2"/>
  <c r="E136" i="2"/>
  <c r="D136" i="2"/>
  <c r="F135" i="2"/>
  <c r="E135" i="2"/>
  <c r="D135" i="2"/>
  <c r="F134" i="2"/>
  <c r="E134" i="2"/>
  <c r="D134" i="2"/>
  <c r="F133" i="2"/>
  <c r="E133" i="2"/>
  <c r="D133" i="2"/>
  <c r="F132" i="2"/>
  <c r="E132" i="2"/>
  <c r="D132" i="2"/>
  <c r="F131" i="2"/>
  <c r="E131" i="2"/>
  <c r="D131" i="2"/>
  <c r="F130" i="2"/>
  <c r="E130" i="2"/>
  <c r="D130" i="2"/>
  <c r="F129" i="2"/>
  <c r="E129" i="2"/>
  <c r="D129" i="2"/>
  <c r="F128" i="2"/>
  <c r="E128" i="2"/>
  <c r="D128" i="2"/>
  <c r="F127" i="2"/>
  <c r="E127" i="2"/>
  <c r="D127" i="2"/>
  <c r="F126" i="2"/>
  <c r="E126" i="2"/>
  <c r="D126" i="2"/>
  <c r="F125" i="2"/>
  <c r="E125" i="2"/>
  <c r="D125" i="2"/>
  <c r="F124" i="2"/>
  <c r="E124" i="2"/>
  <c r="D124" i="2"/>
  <c r="F123" i="2"/>
  <c r="E123" i="2"/>
  <c r="D123" i="2"/>
  <c r="F122" i="2"/>
  <c r="E122" i="2"/>
  <c r="D122" i="2"/>
  <c r="F121" i="2"/>
  <c r="E121" i="2"/>
  <c r="D121" i="2"/>
  <c r="F120" i="2"/>
  <c r="E120" i="2"/>
  <c r="D120" i="2"/>
  <c r="F119" i="2"/>
  <c r="E119" i="2"/>
  <c r="D119" i="2"/>
  <c r="F118" i="2"/>
  <c r="E118" i="2"/>
  <c r="D118" i="2"/>
  <c r="F117" i="2"/>
  <c r="E117" i="2"/>
  <c r="D117" i="2"/>
  <c r="F116" i="2"/>
  <c r="E116" i="2"/>
  <c r="D116" i="2"/>
  <c r="F115" i="2"/>
  <c r="E115" i="2"/>
  <c r="D115" i="2"/>
  <c r="F114" i="2"/>
  <c r="E114" i="2"/>
  <c r="D114" i="2"/>
  <c r="F113" i="2"/>
  <c r="E113" i="2"/>
  <c r="D113" i="2"/>
  <c r="F112" i="2"/>
  <c r="E112" i="2"/>
  <c r="D112" i="2"/>
  <c r="F111" i="2"/>
  <c r="E111" i="2"/>
  <c r="D111" i="2"/>
  <c r="F110" i="2"/>
  <c r="E110" i="2"/>
  <c r="D110" i="2"/>
  <c r="F109" i="2"/>
  <c r="E109" i="2"/>
  <c r="D109" i="2"/>
  <c r="F108" i="2"/>
  <c r="E108" i="2"/>
  <c r="D108" i="2"/>
  <c r="F107" i="2"/>
  <c r="E107" i="2"/>
  <c r="D107" i="2"/>
  <c r="F106" i="2"/>
  <c r="E106" i="2"/>
  <c r="D106" i="2"/>
  <c r="F105" i="2"/>
  <c r="E105" i="2"/>
  <c r="D105" i="2"/>
  <c r="F104" i="2"/>
  <c r="E104" i="2"/>
  <c r="D104" i="2"/>
  <c r="F103" i="2"/>
  <c r="E103" i="2"/>
  <c r="D103" i="2"/>
  <c r="F102" i="2"/>
  <c r="E102" i="2"/>
  <c r="D102" i="2"/>
  <c r="F101" i="2"/>
  <c r="E101" i="2"/>
  <c r="D101" i="2"/>
  <c r="F100" i="2"/>
  <c r="E100" i="2"/>
  <c r="D100" i="2"/>
  <c r="F99" i="2"/>
  <c r="E99" i="2"/>
  <c r="D99" i="2"/>
  <c r="F98" i="2"/>
  <c r="E98" i="2"/>
  <c r="D98" i="2"/>
  <c r="F97" i="2"/>
  <c r="E97" i="2"/>
  <c r="D97" i="2"/>
  <c r="F96" i="2"/>
  <c r="E96" i="2"/>
  <c r="D96" i="2"/>
  <c r="F95" i="2"/>
  <c r="E95" i="2"/>
  <c r="D95" i="2"/>
  <c r="F94" i="2"/>
  <c r="E94" i="2"/>
  <c r="D94" i="2"/>
  <c r="F93" i="2"/>
  <c r="E93" i="2"/>
  <c r="D93" i="2"/>
  <c r="F92" i="2"/>
  <c r="E92" i="2"/>
  <c r="D92" i="2"/>
  <c r="F91" i="2"/>
  <c r="E91" i="2"/>
  <c r="D91" i="2"/>
  <c r="F90" i="2"/>
  <c r="E90" i="2"/>
  <c r="D90" i="2"/>
  <c r="F89" i="2"/>
  <c r="E89" i="2"/>
  <c r="D89" i="2"/>
  <c r="F88" i="2"/>
  <c r="E88" i="2"/>
  <c r="D88" i="2"/>
  <c r="F87" i="2"/>
  <c r="E87" i="2"/>
  <c r="D87" i="2"/>
  <c r="F86" i="2"/>
  <c r="E86" i="2"/>
  <c r="D86" i="2"/>
  <c r="F85" i="2"/>
  <c r="E85" i="2"/>
  <c r="D85" i="2"/>
  <c r="F84" i="2"/>
  <c r="E84" i="2"/>
  <c r="D84" i="2"/>
  <c r="F83" i="2"/>
  <c r="E83" i="2"/>
  <c r="D83" i="2"/>
  <c r="F82" i="2"/>
  <c r="E82" i="2"/>
  <c r="D82" i="2"/>
  <c r="F81" i="2"/>
  <c r="E81" i="2"/>
  <c r="D81" i="2"/>
  <c r="F80" i="2"/>
  <c r="E80" i="2"/>
  <c r="D80" i="2"/>
  <c r="F79" i="2"/>
  <c r="E79" i="2"/>
  <c r="D79" i="2"/>
  <c r="F78" i="2"/>
  <c r="E78" i="2"/>
  <c r="D78" i="2"/>
  <c r="F77" i="2"/>
  <c r="E77" i="2"/>
  <c r="D77" i="2"/>
  <c r="F76" i="2"/>
  <c r="E76" i="2"/>
  <c r="D76" i="2"/>
  <c r="F75" i="2"/>
  <c r="E75" i="2"/>
  <c r="D75" i="2"/>
  <c r="F74" i="2"/>
  <c r="E74" i="2"/>
  <c r="D74" i="2"/>
  <c r="F73" i="2"/>
  <c r="E73" i="2"/>
  <c r="D73" i="2"/>
  <c r="F72" i="2"/>
  <c r="E72" i="2"/>
  <c r="D72" i="2"/>
  <c r="F71" i="2"/>
  <c r="E71" i="2"/>
  <c r="D71" i="2"/>
  <c r="F70" i="2"/>
  <c r="E70" i="2"/>
  <c r="D70" i="2"/>
  <c r="F69" i="2"/>
  <c r="E69" i="2"/>
  <c r="D69" i="2"/>
  <c r="F68" i="2"/>
  <c r="E68" i="2"/>
  <c r="D68" i="2"/>
  <c r="F67" i="2"/>
  <c r="E67" i="2"/>
  <c r="D67" i="2"/>
  <c r="F66" i="2"/>
  <c r="E66" i="2"/>
  <c r="D66" i="2"/>
  <c r="F65" i="2"/>
  <c r="E65" i="2"/>
  <c r="D65" i="2"/>
  <c r="F64" i="2"/>
  <c r="E64" i="2"/>
  <c r="D64" i="2"/>
  <c r="F63" i="2"/>
  <c r="E63" i="2"/>
  <c r="D63" i="2"/>
  <c r="F62" i="2"/>
  <c r="E62" i="2"/>
  <c r="D62" i="2"/>
  <c r="F61" i="2"/>
  <c r="E61" i="2"/>
  <c r="D61" i="2"/>
  <c r="F60" i="2"/>
  <c r="E60" i="2"/>
  <c r="D60" i="2"/>
  <c r="F59" i="2"/>
  <c r="E59" i="2"/>
  <c r="D59" i="2"/>
  <c r="F58" i="2"/>
  <c r="E58" i="2"/>
  <c r="D58" i="2"/>
  <c r="F57" i="2"/>
  <c r="E57" i="2"/>
  <c r="D57" i="2"/>
  <c r="F56" i="2"/>
  <c r="E56" i="2"/>
  <c r="D56" i="2"/>
  <c r="F55" i="2"/>
  <c r="E55" i="2"/>
  <c r="D55" i="2"/>
  <c r="F54" i="2"/>
  <c r="E54" i="2"/>
  <c r="D54" i="2"/>
  <c r="F53" i="2"/>
  <c r="E53" i="2"/>
  <c r="D53" i="2"/>
  <c r="F52" i="2"/>
  <c r="E52" i="2"/>
  <c r="D52" i="2"/>
  <c r="F51" i="2"/>
  <c r="E51" i="2"/>
  <c r="D51" i="2"/>
  <c r="F50" i="2"/>
  <c r="E50" i="2"/>
  <c r="D50" i="2"/>
  <c r="F49" i="2"/>
  <c r="E49" i="2"/>
  <c r="D49" i="2"/>
  <c r="F48" i="2"/>
  <c r="E48" i="2"/>
  <c r="D48" i="2"/>
  <c r="F47" i="2"/>
  <c r="E47" i="2"/>
  <c r="D47" i="2"/>
  <c r="F46" i="2"/>
  <c r="E46" i="2"/>
  <c r="D46" i="2"/>
  <c r="F45" i="2"/>
  <c r="E45" i="2"/>
  <c r="D45" i="2"/>
  <c r="F44" i="2"/>
  <c r="E44" i="2"/>
  <c r="D44" i="2"/>
  <c r="F43" i="2"/>
  <c r="E43" i="2"/>
  <c r="D43" i="2"/>
  <c r="F42" i="2"/>
  <c r="E42" i="2"/>
  <c r="D42" i="2"/>
  <c r="F41" i="2"/>
  <c r="E41" i="2"/>
  <c r="D41" i="2"/>
  <c r="F40" i="2"/>
  <c r="E40" i="2"/>
  <c r="D40" i="2"/>
  <c r="F39" i="2"/>
  <c r="E39" i="2"/>
  <c r="D39" i="2"/>
  <c r="F38" i="2"/>
  <c r="E38" i="2"/>
  <c r="D38" i="2"/>
  <c r="F37" i="2"/>
  <c r="E37" i="2"/>
  <c r="D37" i="2"/>
  <c r="F36" i="2"/>
  <c r="E36" i="2"/>
  <c r="D36" i="2"/>
  <c r="F35" i="2"/>
  <c r="E35" i="2"/>
  <c r="D35" i="2"/>
  <c r="F34" i="2"/>
  <c r="E34" i="2"/>
  <c r="D34" i="2"/>
  <c r="F33" i="2"/>
  <c r="E33" i="2"/>
  <c r="D33" i="2"/>
  <c r="F32" i="2"/>
  <c r="E32" i="2"/>
  <c r="D32" i="2"/>
  <c r="F31" i="2"/>
  <c r="E31" i="2"/>
  <c r="D31" i="2"/>
  <c r="F30" i="2"/>
  <c r="E30" i="2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71" i="2" a="1"/>
  <c r="H31" i="2" a="1"/>
  <c r="H171" i="2" l="1"/>
  <c r="I176" i="2"/>
  <c r="J181" i="2"/>
  <c r="I171" i="2"/>
  <c r="J176" i="2"/>
  <c r="H182" i="2"/>
  <c r="J171" i="2"/>
  <c r="H177" i="2"/>
  <c r="I182" i="2"/>
  <c r="H172" i="2"/>
  <c r="I178" i="2"/>
  <c r="I172" i="2"/>
  <c r="J178" i="2"/>
  <c r="J172" i="2"/>
  <c r="H179" i="2"/>
  <c r="H173" i="2"/>
  <c r="I180" i="2"/>
  <c r="I173" i="2"/>
  <c r="J180" i="2"/>
  <c r="J173" i="2"/>
  <c r="H181" i="2"/>
  <c r="H174" i="2"/>
  <c r="I181" i="2"/>
  <c r="I174" i="2"/>
  <c r="J182" i="2"/>
  <c r="J174" i="2"/>
  <c r="H175" i="2"/>
  <c r="I175" i="2"/>
  <c r="J175" i="2"/>
  <c r="H176" i="2"/>
  <c r="I177" i="2"/>
  <c r="J177" i="2"/>
  <c r="H178" i="2"/>
  <c r="I179" i="2"/>
  <c r="J179" i="2"/>
  <c r="H180" i="2"/>
  <c r="I32" i="2"/>
  <c r="I36" i="2"/>
  <c r="H35" i="2"/>
  <c r="H31" i="2"/>
  <c r="H32" i="2"/>
  <c r="I38" i="2"/>
  <c r="H38" i="2"/>
  <c r="I37" i="2"/>
  <c r="H37" i="2"/>
  <c r="H36" i="2"/>
  <c r="I34" i="2"/>
  <c r="H34" i="2"/>
  <c r="I33" i="2"/>
  <c r="H33" i="2"/>
  <c r="I31" i="2"/>
  <c r="I35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<sst xmlns="http://schemas.openxmlformats.org/spreadsheetml/2006/main" count="45" uniqueCount="35">
  <si>
    <t>node_identifier</t>
  </si>
  <si>
    <t>algoseek_daily_ohlc_DEMO</t>
  </si>
  <si>
    <t>unique_indetifier_list</t>
  </si>
  <si>
    <t>start_date</t>
  </si>
  <si>
    <t>end_date</t>
  </si>
  <si>
    <t>BBG000BS7KS3</t>
  </si>
  <si>
    <t>BBG000BY29C7</t>
  </si>
  <si>
    <t xml:space="preserve">
</t>
  </si>
  <si>
    <t>curve_table_id</t>
  </si>
  <si>
    <t>discount_curves</t>
  </si>
  <si>
    <t>90_CBPF_48</t>
  </si>
  <si>
    <t>90_CDMXCB_19</t>
  </si>
  <si>
    <t>Get asset information</t>
  </si>
  <si>
    <t>Zero Curves</t>
  </si>
  <si>
    <t>date_start</t>
  </si>
  <si>
    <t>date_end</t>
  </si>
  <si>
    <t>Querying Assets</t>
  </si>
  <si>
    <t>Quering curves</t>
  </si>
  <si>
    <t xml:space="preserve">Decompressing curve. </t>
  </si>
  <si>
    <t>MS.GET_DATA_NODE(C8,C11,D11,B11:B12)</t>
  </si>
  <si>
    <t>MS.GET_ASSET</t>
  </si>
  <si>
    <t>Date</t>
  </si>
  <si>
    <t>Function</t>
  </si>
  <si>
    <t>Comment</t>
  </si>
  <si>
    <t>MS.GET_DATA_NODE</t>
  </si>
  <si>
    <t>MS.GET_ASSET_FIELD</t>
  </si>
  <si>
    <t>MS.DECOMPRESS_CURVE</t>
  </si>
  <si>
    <t>Variant</t>
  </si>
  <si>
    <t>Working</t>
  </si>
  <si>
    <t>GET_ASSET_FIELD</t>
  </si>
  <si>
    <t>Single</t>
  </si>
  <si>
    <t>List</t>
  </si>
  <si>
    <t>Working State</t>
  </si>
  <si>
    <t>Empty list being returned on sending multiple identifiers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</si>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</sst>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rgb="FFCCCCCC"/>
      <name val="Consolas"/>
      <family val="3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1" fillId="2" borderId="1" xfId="1"/>
    <xf numFmtId="164" fontId="1" fillId="2" borderId="1" xfId="1" applyNumberForma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5" fontId="0" fillId="0" borderId="0" xfId="0" applyNumberFormat="1" applyAlignment="1">
      <alignment horizontal="left" vertical="center" wrapText="1"/>
    </xf>
  </cellXfs>
  <cellStyles count="2">
    <cellStyle name="Input" xfId="1" builtinId="20"/>
    <cellStyle name="Normal" xfId="0" builtinId="0"/>
  </cellStyles>
  <dxfs count="7"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20" formatCode="dd/mmm/yy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1C32C-C3AD-48B1-A916-00E85C849A46}" name="Table1" displayName="Table1" ref="A1:E6" totalsRowShown="0" headerRowDxfId="6" dataDxfId="5">
  <autoFilter ref="A1:E6" xr:uid="{7BF1C32C-C3AD-48B1-A916-00E85C849A46}"/>
  <tableColumns count="5">
    <tableColumn id="1" xr3:uid="{9BF8D51A-A607-406F-950D-BEA8C8CB749B}" name="Date" dataDxfId="4"/>
    <tableColumn id="2" xr3:uid="{9573CA0B-44D5-4BDA-9188-89DEDF5945F5}" name="Function" dataDxfId="3"/>
    <tableColumn id="3" xr3:uid="{38743110-3290-47B8-94D3-D3D8F3716358}" name="Variant" dataDxfId="2"/>
    <tableColumn id="4" xr3:uid="{47F46CFB-E906-4177-9E7E-78A384633100}" name="Working State" dataDxfId="1"/>
    <tableColumn id="5" xr3:uid="{FB3EFDBB-826B-4163-8901-DC843A9F4507}" name="Comme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BAD8C-0881-43D2-8B06-DFBB5DEC5206}">
  <dimension ref="B3:AL260"/>
  <sheetViews>
    <sheetView tabSelected="1" workbookViewId="0">
      <selection activeCell="F7" sqref="F7"/>
    </sheetView>
  </sheetViews>
  <sheetFormatPr defaultRowHeight="14.4" x14ac:dyDescent="0.3"/>
  <cols>
    <col min="2" max="2" width="21.109375" customWidth="1"/>
    <col min="3" max="3" width="25.33203125" bestFit="1" customWidth="1"/>
    <col min="8" max="8" width="23.109375" bestFit="1" customWidth="1"/>
    <col min="9" max="9" width="11.33203125" customWidth="1"/>
  </cols>
  <sheetData>
    <row r="3" spans="2:38" x14ac:dyDescent="0.3">
      <c r="B3" t="str">
        <f>_xll.MS.SHOW_ENDPOINT()</f>
        <v>Backend: https://main-sequence.app</v>
      </c>
    </row>
    <row r="4" spans="2:38" ht="28.8" x14ac:dyDescent="0.3">
      <c r="B4" s="1" t="s">
        <v>7</v>
      </c>
    </row>
    <row r="5" spans="2:38" x14ac:dyDescent="0.3">
      <c r="B5" t="str" cm="1">
        <f t="array" ref="B5">_xll.MS.MODULE_PATH()</f>
        <v>D:\Upwork\msms_xloil\uv_test\ms-excel-win\src\ms_excel_win\ms_excel_wrappers.py</v>
      </c>
    </row>
    <row r="6" spans="2:38" x14ac:dyDescent="0.3">
      <c r="F6" t="s">
        <v>34</v>
      </c>
    </row>
    <row r="8" spans="2:38" x14ac:dyDescent="0.3">
      <c r="B8" t="s">
        <v>0</v>
      </c>
      <c r="C8" s="2" t="s">
        <v>1</v>
      </c>
    </row>
    <row r="10" spans="2:38" x14ac:dyDescent="0.3">
      <c r="B10" t="s">
        <v>2</v>
      </c>
      <c r="C10" t="s">
        <v>3</v>
      </c>
      <c r="D10" t="s">
        <v>4</v>
      </c>
      <c r="H10" t="s">
        <v>19</v>
      </c>
    </row>
    <row r="11" spans="2:38" x14ac:dyDescent="0.3">
      <c r="B11" s="2" t="s">
        <v>5</v>
      </c>
      <c r="C11" s="3">
        <f>DATE(2022,1,1)</f>
        <v>44562</v>
      </c>
      <c r="D11" s="3">
        <f>C11+365</f>
        <v>44927</v>
      </c>
    </row>
    <row r="12" spans="2:38" x14ac:dyDescent="0.3">
      <c r="B12" s="2" t="s">
        <v>6</v>
      </c>
      <c r="H12" t="str" cm="1">
        <f t="array" ref="H12:AL260">_xll.MS.GET_DATA_NODE(C8,C11,D11,B11:B12)</f>
        <v/>
      </c>
      <c r="I12" t="str">
        <v/>
      </c>
      <c r="J12" t="str">
        <v/>
      </c>
      <c r="K12" t="str">
        <v/>
      </c>
      <c r="L12" t="str">
        <v/>
      </c>
      <c r="M12" t="str">
        <v/>
      </c>
      <c r="N12" t="str">
        <v/>
      </c>
      <c r="O12" t="str">
        <v/>
      </c>
      <c r="P12" t="str">
        <v/>
      </c>
      <c r="Q12" t="str">
        <v/>
      </c>
      <c r="R12" t="str">
        <v/>
      </c>
      <c r="S12" t="str">
        <v/>
      </c>
      <c r="T12" t="str">
        <v/>
      </c>
      <c r="U12" t="str">
        <v/>
      </c>
      <c r="V12" t="str">
        <v/>
      </c>
      <c r="W12" t="str">
        <v/>
      </c>
      <c r="X12" t="str">
        <v/>
      </c>
      <c r="Y12" t="str">
        <v/>
      </c>
      <c r="Z12" t="str">
        <v/>
      </c>
      <c r="AA12" t="str">
        <v/>
      </c>
      <c r="AB12" t="str">
        <v/>
      </c>
      <c r="AC12" t="str">
        <v/>
      </c>
      <c r="AD12" t="str">
        <v/>
      </c>
      <c r="AE12" t="str">
        <v/>
      </c>
      <c r="AF12" t="str">
        <v/>
      </c>
      <c r="AG12" t="str">
        <v/>
      </c>
      <c r="AH12" t="str">
        <v/>
      </c>
      <c r="AI12" t="str">
        <v/>
      </c>
      <c r="AJ12" t="str">
        <v/>
      </c>
      <c r="AK12" t="str">
        <v/>
      </c>
      <c r="AL12" t="str">
        <v/>
      </c>
    </row>
    <row r="13" spans="2:38" x14ac:dyDescent="0.3">
      <c r="H13" t="str">
        <v/>
      </c>
      <c r="I13" t="str">
        <v/>
      </c>
      <c r="J13" t="str">
        <v/>
      </c>
      <c r="K13" t="str">
        <v/>
      </c>
      <c r="L13" t="str">
        <v/>
      </c>
      <c r="M13" t="str">
        <v/>
      </c>
      <c r="N13" t="str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  <c r="U13" t="str">
        <v/>
      </c>
      <c r="V13" t="str">
        <v/>
      </c>
      <c r="W13" t="str">
        <v/>
      </c>
      <c r="X13" t="str">
        <v/>
      </c>
      <c r="Y13" t="str">
        <v/>
      </c>
      <c r="Z13" t="str">
        <v/>
      </c>
      <c r="AA13" t="str">
        <v/>
      </c>
      <c r="AB13" t="str">
        <v/>
      </c>
      <c r="AC13" t="str">
        <v/>
      </c>
      <c r="AD13" t="str">
        <v/>
      </c>
      <c r="AE13" t="str">
        <v/>
      </c>
      <c r="AF13" t="str">
        <v/>
      </c>
      <c r="AG13" t="str">
        <v/>
      </c>
      <c r="AH13" t="str">
        <v/>
      </c>
      <c r="AI13" t="str">
        <v/>
      </c>
      <c r="AJ13" t="str">
        <v/>
      </c>
      <c r="AK13" t="str">
        <v/>
      </c>
      <c r="AL13" t="str">
        <v/>
      </c>
    </row>
    <row r="14" spans="2:38" x14ac:dyDescent="0.3">
      <c r="H14" t="str">
        <v/>
      </c>
      <c r="I14" t="str">
        <v/>
      </c>
      <c r="J14" t="str">
        <v/>
      </c>
      <c r="K14" t="str">
        <v/>
      </c>
      <c r="L14" t="str">
        <v/>
      </c>
      <c r="M14" t="str">
        <v/>
      </c>
      <c r="N14" t="str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>
        <v/>
      </c>
      <c r="V14" t="str">
        <v/>
      </c>
      <c r="W14" t="str">
        <v/>
      </c>
      <c r="X14" t="str">
        <v/>
      </c>
      <c r="Y14" t="str">
        <v/>
      </c>
      <c r="Z14" t="str">
        <v/>
      </c>
      <c r="AA14" t="str">
        <v/>
      </c>
      <c r="AB14" t="str">
        <v/>
      </c>
      <c r="AC14" t="str">
        <v/>
      </c>
      <c r="AD14" t="str">
        <v/>
      </c>
      <c r="AE14" t="str">
        <v/>
      </c>
      <c r="AF14" t="str">
        <v/>
      </c>
      <c r="AG14" t="str">
        <v/>
      </c>
      <c r="AH14" t="str">
        <v/>
      </c>
      <c r="AI14" t="str">
        <v/>
      </c>
      <c r="AJ14" t="str">
        <v/>
      </c>
      <c r="AK14" t="str">
        <v/>
      </c>
      <c r="AL14" t="str">
        <v/>
      </c>
    </row>
    <row r="15" spans="2:38" x14ac:dyDescent="0.3">
      <c r="B15" t="s">
        <v>29</v>
      </c>
      <c r="H15" t="str">
        <v/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>
        <v/>
      </c>
      <c r="V15" t="str">
        <v/>
      </c>
      <c r="W15" t="str">
        <v/>
      </c>
      <c r="X15" t="str">
        <v/>
      </c>
      <c r="Y15" t="str">
        <v/>
      </c>
      <c r="Z15" t="str">
        <v/>
      </c>
      <c r="AA15" t="str">
        <v/>
      </c>
      <c r="AB15" t="str">
        <v/>
      </c>
      <c r="AC15" t="str">
        <v/>
      </c>
      <c r="AD15" t="str">
        <v/>
      </c>
      <c r="AE15" t="str">
        <v/>
      </c>
      <c r="AF15" t="str">
        <v/>
      </c>
      <c r="AG15" t="str">
        <v/>
      </c>
      <c r="AH15" t="str">
        <v/>
      </c>
      <c r="AI15" t="str">
        <v/>
      </c>
      <c r="AJ15" t="str">
        <v/>
      </c>
      <c r="AK15" t="str">
        <v/>
      </c>
      <c r="AL15" t="str">
        <v/>
      </c>
    </row>
    <row r="16" spans="2:38" x14ac:dyDescent="0.3">
      <c r="H16" t="str">
        <v/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  <c r="O16" t="str">
        <v/>
      </c>
      <c r="P16" t="str">
        <v/>
      </c>
      <c r="Q16" t="str">
        <v/>
      </c>
      <c r="R16" t="str">
        <v/>
      </c>
      <c r="S16" t="str">
        <v/>
      </c>
      <c r="T16" t="str">
        <v/>
      </c>
      <c r="U16" t="str">
        <v/>
      </c>
      <c r="V16" t="str">
        <v/>
      </c>
      <c r="W16" t="str">
        <v/>
      </c>
      <c r="X16" t="str">
        <v/>
      </c>
      <c r="Y16" t="str">
        <v/>
      </c>
      <c r="Z16" t="str">
        <v/>
      </c>
      <c r="AA16" t="str">
        <v/>
      </c>
      <c r="AB16" t="str">
        <v/>
      </c>
      <c r="AC16" t="str">
        <v/>
      </c>
      <c r="AD16" t="str">
        <v/>
      </c>
      <c r="AE16" t="str">
        <v/>
      </c>
      <c r="AF16" t="str">
        <v/>
      </c>
      <c r="AG16" t="str">
        <v/>
      </c>
      <c r="AH16" t="str">
        <v/>
      </c>
      <c r="AI16" t="str">
        <v/>
      </c>
      <c r="AJ16" t="str">
        <v/>
      </c>
      <c r="AK16" t="str">
        <v/>
      </c>
      <c r="AL16" t="str">
        <v/>
      </c>
    </row>
    <row r="17" spans="2:38" x14ac:dyDescent="0.3">
      <c r="B17" s="6" t="s">
        <v>12</v>
      </c>
      <c r="C17" s="6" t="str">
        <f>B11</f>
        <v>BBG000BS7KS3</v>
      </c>
      <c r="D17" t="str">
        <f>_xll.MS.GET_ASSET_FIELD(C17,"current_snapshot.ticker")</f>
        <v>TAP</v>
      </c>
      <c r="H17" t="str">
        <v/>
      </c>
      <c r="I17" t="str">
        <v/>
      </c>
      <c r="J17" t="str">
        <v/>
      </c>
      <c r="K17" t="str">
        <v/>
      </c>
      <c r="L17" t="str">
        <v/>
      </c>
      <c r="M17" t="str">
        <v/>
      </c>
      <c r="N17" t="str">
        <v/>
      </c>
      <c r="O17" t="str">
        <v/>
      </c>
      <c r="P17" t="str">
        <v/>
      </c>
      <c r="Q17" t="str">
        <v/>
      </c>
      <c r="R17" t="str">
        <v/>
      </c>
      <c r="S17" t="str">
        <v/>
      </c>
      <c r="T17" t="str">
        <v/>
      </c>
      <c r="U17" t="str">
        <v/>
      </c>
      <c r="V17" t="str">
        <v/>
      </c>
      <c r="W17" t="str">
        <v/>
      </c>
      <c r="X17" t="str">
        <v/>
      </c>
      <c r="Y17" t="str">
        <v/>
      </c>
      <c r="Z17" t="str">
        <v/>
      </c>
      <c r="AA17" t="str">
        <v/>
      </c>
      <c r="AB17" t="str">
        <v/>
      </c>
      <c r="AC17" t="str">
        <v/>
      </c>
      <c r="AD17" t="str">
        <v/>
      </c>
      <c r="AE17" t="str">
        <v/>
      </c>
      <c r="AF17" t="str">
        <v/>
      </c>
      <c r="AG17" t="str">
        <v/>
      </c>
      <c r="AH17" t="str">
        <v/>
      </c>
      <c r="AI17" t="str">
        <v/>
      </c>
      <c r="AJ17" t="str">
        <v/>
      </c>
      <c r="AK17" t="str">
        <v/>
      </c>
      <c r="AL17" t="str">
        <v/>
      </c>
    </row>
    <row r="18" spans="2:38" x14ac:dyDescent="0.3">
      <c r="B18" t="str">
        <f t="array" ref="B18:C39">_xll.MS.GET_ASSET(C17)</f>
        <v>field</v>
      </c>
      <c r="C18" t="str">
        <v>value</v>
      </c>
      <c r="H18" t="str">
        <v/>
      </c>
      <c r="I18" t="str">
        <v/>
      </c>
      <c r="J18" t="str">
        <v/>
      </c>
      <c r="K18" t="str">
        <v/>
      </c>
      <c r="L18" t="str">
        <v/>
      </c>
      <c r="M18" t="str">
        <v/>
      </c>
      <c r="N18" t="str">
        <v/>
      </c>
      <c r="O18" t="str">
        <v/>
      </c>
      <c r="P18" t="str">
        <v/>
      </c>
      <c r="Q18" t="str">
        <v/>
      </c>
      <c r="R18" t="str">
        <v/>
      </c>
      <c r="S18" t="str">
        <v/>
      </c>
      <c r="T18" t="str">
        <v/>
      </c>
      <c r="U18" t="str">
        <v/>
      </c>
      <c r="V18" t="str">
        <v/>
      </c>
      <c r="W18" t="str">
        <v/>
      </c>
      <c r="X18" t="str">
        <v/>
      </c>
      <c r="Y18" t="str">
        <v/>
      </c>
      <c r="Z18" t="str">
        <v/>
      </c>
      <c r="AA18" t="str">
        <v/>
      </c>
      <c r="AB18" t="str">
        <v/>
      </c>
      <c r="AC18" t="str">
        <v/>
      </c>
      <c r="AD18" t="str">
        <v/>
      </c>
      <c r="AE18" t="str">
        <v/>
      </c>
      <c r="AF18" t="str">
        <v/>
      </c>
      <c r="AG18" t="str">
        <v/>
      </c>
      <c r="AH18" t="str">
        <v/>
      </c>
      <c r="AI18" t="str">
        <v/>
      </c>
      <c r="AJ18" t="str">
        <v/>
      </c>
      <c r="AK18" t="str">
        <v/>
      </c>
      <c r="AL18" t="str">
        <v/>
      </c>
    </row>
    <row r="19" spans="2:38" x14ac:dyDescent="0.3">
      <c r="B19" t="str">
        <v>orm_class</v>
      </c>
      <c r="C19" t="str">
        <v>Asset</v>
      </c>
      <c r="H19" t="str">
        <v/>
      </c>
      <c r="I19" t="str">
        <v/>
      </c>
      <c r="J19" t="str">
        <v/>
      </c>
      <c r="K19" t="str">
        <v/>
      </c>
      <c r="L19" t="str">
        <v/>
      </c>
      <c r="M19" t="str">
        <v/>
      </c>
      <c r="N19" t="str">
        <v/>
      </c>
      <c r="O19" t="str">
        <v/>
      </c>
      <c r="P19" t="str">
        <v/>
      </c>
      <c r="Q19" t="str">
        <v/>
      </c>
      <c r="R19" t="str">
        <v/>
      </c>
      <c r="S19" t="str">
        <v/>
      </c>
      <c r="T19" t="str">
        <v/>
      </c>
      <c r="U19" t="str">
        <v/>
      </c>
      <c r="V19" t="str">
        <v/>
      </c>
      <c r="W19" t="str">
        <v/>
      </c>
      <c r="X19" t="str">
        <v/>
      </c>
      <c r="Y19" t="str">
        <v/>
      </c>
      <c r="Z19" t="str">
        <v/>
      </c>
      <c r="AA19" t="str">
        <v/>
      </c>
      <c r="AB19" t="str">
        <v/>
      </c>
      <c r="AC19" t="str">
        <v/>
      </c>
      <c r="AD19" t="str">
        <v/>
      </c>
      <c r="AE19" t="str">
        <v/>
      </c>
      <c r="AF19" t="str">
        <v/>
      </c>
      <c r="AG19" t="str">
        <v/>
      </c>
      <c r="AH19" t="str">
        <v/>
      </c>
      <c r="AI19" t="str">
        <v/>
      </c>
      <c r="AJ19" t="str">
        <v/>
      </c>
      <c r="AK19" t="str">
        <v/>
      </c>
      <c r="AL19" t="str">
        <v/>
      </c>
    </row>
    <row r="20" spans="2:38" x14ac:dyDescent="0.3">
      <c r="B20" t="str">
        <v>id</v>
      </c>
      <c r="C20">
        <v>5337</v>
      </c>
      <c r="H20" t="str">
        <v/>
      </c>
      <c r="I20" t="str">
        <v/>
      </c>
      <c r="J20" t="str">
        <v/>
      </c>
      <c r="K20" t="str">
        <v/>
      </c>
      <c r="L20" t="str">
        <v/>
      </c>
      <c r="M20" t="str">
        <v/>
      </c>
      <c r="N20" t="str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  <c r="U20" t="str">
        <v/>
      </c>
      <c r="V20" t="str">
        <v/>
      </c>
      <c r="W20" t="str">
        <v/>
      </c>
      <c r="X20" t="str">
        <v/>
      </c>
      <c r="Y20" t="str">
        <v/>
      </c>
      <c r="Z20" t="str">
        <v/>
      </c>
      <c r="AA20" t="str">
        <v/>
      </c>
      <c r="AB20" t="str">
        <v/>
      </c>
      <c r="AC20" t="str">
        <v/>
      </c>
      <c r="AD20" t="str">
        <v/>
      </c>
      <c r="AE20" t="str">
        <v/>
      </c>
      <c r="AF20" t="str">
        <v/>
      </c>
      <c r="AG20" t="str">
        <v/>
      </c>
      <c r="AH20" t="str">
        <v/>
      </c>
      <c r="AI20" t="str">
        <v/>
      </c>
      <c r="AJ20" t="str">
        <v/>
      </c>
      <c r="AK20" t="str">
        <v/>
      </c>
      <c r="AL20" t="str">
        <v/>
      </c>
    </row>
    <row r="21" spans="2:38" x14ac:dyDescent="0.3">
      <c r="B21" t="str">
        <v>unique_identifier</v>
      </c>
      <c r="C21" t="str">
        <v>BBG000BS7KS3</v>
      </c>
      <c r="H21" t="str">
        <v/>
      </c>
      <c r="I21" t="str">
        <v/>
      </c>
      <c r="J21" t="str">
        <v/>
      </c>
      <c r="K21" t="str">
        <v/>
      </c>
      <c r="L21" t="str">
        <v/>
      </c>
      <c r="M21" t="str">
        <v/>
      </c>
      <c r="N21" t="str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  <c r="U21" t="str">
        <v/>
      </c>
      <c r="V21" t="str">
        <v/>
      </c>
      <c r="W21" t="str">
        <v/>
      </c>
      <c r="X21" t="str">
        <v/>
      </c>
      <c r="Y21" t="str">
        <v/>
      </c>
      <c r="Z21" t="str">
        <v/>
      </c>
      <c r="AA21" t="str">
        <v/>
      </c>
      <c r="AB21" t="str">
        <v/>
      </c>
      <c r="AC21" t="str">
        <v/>
      </c>
      <c r="AD21" t="str">
        <v/>
      </c>
      <c r="AE21" t="str">
        <v/>
      </c>
      <c r="AF21" t="str">
        <v/>
      </c>
      <c r="AG21" t="str">
        <v/>
      </c>
      <c r="AH21" t="str">
        <v/>
      </c>
      <c r="AI21" t="str">
        <v/>
      </c>
      <c r="AJ21" t="str">
        <v/>
      </c>
      <c r="AK21" t="str">
        <v/>
      </c>
      <c r="AL21" t="str">
        <v/>
      </c>
    </row>
    <row r="22" spans="2:38" x14ac:dyDescent="0.3">
      <c r="B22" t="str">
        <v>figi</v>
      </c>
      <c r="C22" t="str">
        <v>BBG000BS7KS3</v>
      </c>
      <c r="H22" t="str">
        <v/>
      </c>
      <c r="I22" t="str">
        <v/>
      </c>
      <c r="J22" t="str">
        <v/>
      </c>
      <c r="K22" t="str">
        <v/>
      </c>
      <c r="L22" t="str">
        <v/>
      </c>
      <c r="M22" t="str">
        <v/>
      </c>
      <c r="N22" t="str">
        <v/>
      </c>
      <c r="O22" t="str">
        <v/>
      </c>
      <c r="P22" t="str">
        <v/>
      </c>
      <c r="Q22" t="str">
        <v/>
      </c>
      <c r="R22" t="str">
        <v/>
      </c>
      <c r="S22" t="str">
        <v/>
      </c>
      <c r="T22" t="str">
        <v/>
      </c>
      <c r="U22" t="str">
        <v/>
      </c>
      <c r="V22" t="str">
        <v/>
      </c>
      <c r="W22" t="str">
        <v/>
      </c>
      <c r="X22" t="str">
        <v/>
      </c>
      <c r="Y22" t="str">
        <v/>
      </c>
      <c r="Z22" t="str">
        <v/>
      </c>
      <c r="AA22" t="str">
        <v/>
      </c>
      <c r="AB22" t="str">
        <v/>
      </c>
      <c r="AC22" t="str">
        <v/>
      </c>
      <c r="AD22" t="str">
        <v/>
      </c>
      <c r="AE22" t="str">
        <v/>
      </c>
      <c r="AF22" t="str">
        <v/>
      </c>
      <c r="AG22" t="str">
        <v/>
      </c>
      <c r="AH22" t="str">
        <v/>
      </c>
      <c r="AI22" t="str">
        <v/>
      </c>
      <c r="AJ22" t="str">
        <v/>
      </c>
      <c r="AK22" t="str">
        <v/>
      </c>
      <c r="AL22" t="str">
        <v/>
      </c>
    </row>
    <row r="23" spans="2:38" x14ac:dyDescent="0.3">
      <c r="B23" t="str">
        <v>composite</v>
      </c>
      <c r="C23" t="str">
        <v>BBG000BS7KS3</v>
      </c>
      <c r="H23" t="str">
        <v/>
      </c>
      <c r="I23" t="str">
        <v/>
      </c>
      <c r="J23" t="str">
        <v/>
      </c>
      <c r="K23" t="str">
        <v/>
      </c>
      <c r="L23" t="str">
        <v/>
      </c>
      <c r="M23" t="str">
        <v/>
      </c>
      <c r="N23" t="str">
        <v/>
      </c>
      <c r="O23" t="str">
        <v/>
      </c>
      <c r="P23" t="str">
        <v/>
      </c>
      <c r="Q23" t="str">
        <v/>
      </c>
      <c r="R23" t="str">
        <v/>
      </c>
      <c r="S23" t="str">
        <v/>
      </c>
      <c r="T23" t="str">
        <v/>
      </c>
      <c r="U23" t="str">
        <v/>
      </c>
      <c r="V23" t="str">
        <v/>
      </c>
      <c r="W23" t="str">
        <v/>
      </c>
      <c r="X23" t="str">
        <v/>
      </c>
      <c r="Y23" t="str">
        <v/>
      </c>
      <c r="Z23" t="str">
        <v/>
      </c>
      <c r="AA23" t="str">
        <v/>
      </c>
      <c r="AB23" t="str">
        <v/>
      </c>
      <c r="AC23" t="str">
        <v/>
      </c>
      <c r="AD23" t="str">
        <v/>
      </c>
      <c r="AE23" t="str">
        <v/>
      </c>
      <c r="AF23" t="str">
        <v/>
      </c>
      <c r="AG23" t="str">
        <v/>
      </c>
      <c r="AH23" t="str">
        <v/>
      </c>
      <c r="AI23" t="str">
        <v/>
      </c>
      <c r="AJ23" t="str">
        <v/>
      </c>
      <c r="AK23" t="str">
        <v/>
      </c>
      <c r="AL23" t="str">
        <v/>
      </c>
    </row>
    <row r="24" spans="2:38" x14ac:dyDescent="0.3">
      <c r="B24" t="str">
        <v>share_class</v>
      </c>
      <c r="C24" t="str">
        <v>BBG001S5VQ21</v>
      </c>
      <c r="H24" t="str">
        <v/>
      </c>
      <c r="I24" t="str">
        <v/>
      </c>
      <c r="J24" t="str">
        <v/>
      </c>
      <c r="K24" t="str">
        <v/>
      </c>
      <c r="L24" t="str">
        <v/>
      </c>
      <c r="M24" t="str">
        <v/>
      </c>
      <c r="N24" t="str">
        <v/>
      </c>
      <c r="O24" t="str">
        <v/>
      </c>
      <c r="P24" t="str">
        <v/>
      </c>
      <c r="Q24" t="str">
        <v/>
      </c>
      <c r="R24" t="str">
        <v/>
      </c>
      <c r="S24" t="str">
        <v/>
      </c>
      <c r="T24" t="str">
        <v/>
      </c>
      <c r="U24" t="str">
        <v/>
      </c>
      <c r="V24" t="str">
        <v/>
      </c>
      <c r="W24" t="str">
        <v/>
      </c>
      <c r="X24" t="str">
        <v/>
      </c>
      <c r="Y24" t="str">
        <v/>
      </c>
      <c r="Z24" t="str">
        <v/>
      </c>
      <c r="AA24" t="str">
        <v/>
      </c>
      <c r="AB24" t="str">
        <v/>
      </c>
      <c r="AC24" t="str">
        <v/>
      </c>
      <c r="AD24" t="str">
        <v/>
      </c>
      <c r="AE24" t="str">
        <v/>
      </c>
      <c r="AF24" t="str">
        <v/>
      </c>
      <c r="AG24" t="str">
        <v/>
      </c>
      <c r="AH24" t="str">
        <v/>
      </c>
      <c r="AI24" t="str">
        <v/>
      </c>
      <c r="AJ24" t="str">
        <v/>
      </c>
      <c r="AK24" t="str">
        <v/>
      </c>
      <c r="AL24" t="str">
        <v/>
      </c>
    </row>
    <row r="25" spans="2:38" x14ac:dyDescent="0.3">
      <c r="B25" t="str">
        <v>isin</v>
      </c>
      <c r="C25" t="e">
        <v>#N/A</v>
      </c>
      <c r="H25" t="str">
        <v/>
      </c>
      <c r="I25" t="str">
        <v/>
      </c>
      <c r="J25" t="str">
        <v/>
      </c>
      <c r="K25" t="str">
        <v/>
      </c>
      <c r="L25" t="str">
        <v/>
      </c>
      <c r="M25" t="str">
        <v/>
      </c>
      <c r="N25" t="str">
        <v/>
      </c>
      <c r="O25" t="str">
        <v/>
      </c>
      <c r="P25" t="str">
        <v/>
      </c>
      <c r="Q25" t="str">
        <v/>
      </c>
      <c r="R25" t="str">
        <v/>
      </c>
      <c r="S25" t="str">
        <v/>
      </c>
      <c r="T25" t="str">
        <v/>
      </c>
      <c r="U25" t="str">
        <v/>
      </c>
      <c r="V25" t="str">
        <v/>
      </c>
      <c r="W25" t="str">
        <v/>
      </c>
      <c r="X25" t="str">
        <v/>
      </c>
      <c r="Y25" t="str">
        <v/>
      </c>
      <c r="Z25" t="str">
        <v/>
      </c>
      <c r="AA25" t="str">
        <v/>
      </c>
      <c r="AB25" t="str">
        <v/>
      </c>
      <c r="AC25" t="str">
        <v/>
      </c>
      <c r="AD25" t="str">
        <v/>
      </c>
      <c r="AE25" t="str">
        <v/>
      </c>
      <c r="AF25" t="str">
        <v/>
      </c>
      <c r="AG25" t="str">
        <v/>
      </c>
      <c r="AH25" t="str">
        <v/>
      </c>
      <c r="AI25" t="str">
        <v/>
      </c>
      <c r="AJ25" t="str">
        <v/>
      </c>
      <c r="AK25" t="str">
        <v/>
      </c>
      <c r="AL25" t="str">
        <v/>
      </c>
    </row>
    <row r="26" spans="2:38" x14ac:dyDescent="0.3">
      <c r="B26" t="str">
        <v>security_type</v>
      </c>
      <c r="C26" t="str">
        <v>Common Stock</v>
      </c>
      <c r="H26" t="str">
        <v/>
      </c>
      <c r="I26" t="str">
        <v/>
      </c>
      <c r="J26" t="str">
        <v/>
      </c>
      <c r="K26" t="str">
        <v/>
      </c>
      <c r="L26" t="str">
        <v/>
      </c>
      <c r="M26" t="str">
        <v/>
      </c>
      <c r="N26" t="str">
        <v/>
      </c>
      <c r="O26" t="str">
        <v/>
      </c>
      <c r="P26" t="str">
        <v/>
      </c>
      <c r="Q26" t="str">
        <v/>
      </c>
      <c r="R26" t="str">
        <v/>
      </c>
      <c r="S26" t="str">
        <v/>
      </c>
      <c r="T26" t="str">
        <v/>
      </c>
      <c r="U26" t="str">
        <v/>
      </c>
      <c r="V26" t="str">
        <v/>
      </c>
      <c r="W26" t="str">
        <v/>
      </c>
      <c r="X26" t="str">
        <v/>
      </c>
      <c r="Y26" t="str">
        <v/>
      </c>
      <c r="Z26" t="str">
        <v/>
      </c>
      <c r="AA26" t="str">
        <v/>
      </c>
      <c r="AB26" t="str">
        <v/>
      </c>
      <c r="AC26" t="str">
        <v/>
      </c>
      <c r="AD26" t="str">
        <v/>
      </c>
      <c r="AE26" t="str">
        <v/>
      </c>
      <c r="AF26" t="str">
        <v/>
      </c>
      <c r="AG26" t="str">
        <v/>
      </c>
      <c r="AH26" t="str">
        <v/>
      </c>
      <c r="AI26" t="str">
        <v/>
      </c>
      <c r="AJ26" t="str">
        <v/>
      </c>
      <c r="AK26" t="str">
        <v/>
      </c>
      <c r="AL26" t="str">
        <v/>
      </c>
    </row>
    <row r="27" spans="2:38" x14ac:dyDescent="0.3">
      <c r="B27" t="str">
        <v>security_type_2</v>
      </c>
      <c r="C27" t="str">
        <v>Common Stock</v>
      </c>
      <c r="H27" t="str">
        <v/>
      </c>
      <c r="I27" t="str">
        <v/>
      </c>
      <c r="J27" t="str">
        <v/>
      </c>
      <c r="K27" t="str">
        <v/>
      </c>
      <c r="L27" t="str">
        <v/>
      </c>
      <c r="M27" t="str">
        <v/>
      </c>
      <c r="N27" t="str">
        <v/>
      </c>
      <c r="O27" t="str">
        <v/>
      </c>
      <c r="P27" t="str">
        <v/>
      </c>
      <c r="Q27" t="str">
        <v/>
      </c>
      <c r="R27" t="str">
        <v/>
      </c>
      <c r="S27" t="str">
        <v/>
      </c>
      <c r="T27" t="str">
        <v/>
      </c>
      <c r="U27" t="str">
        <v/>
      </c>
      <c r="V27" t="str">
        <v/>
      </c>
      <c r="W27" t="str">
        <v/>
      </c>
      <c r="X27" t="str">
        <v/>
      </c>
      <c r="Y27" t="str">
        <v/>
      </c>
      <c r="Z27" t="str">
        <v/>
      </c>
      <c r="AA27" t="str">
        <v/>
      </c>
      <c r="AB27" t="str">
        <v/>
      </c>
      <c r="AC27" t="str">
        <v/>
      </c>
      <c r="AD27" t="str">
        <v/>
      </c>
      <c r="AE27" t="str">
        <v/>
      </c>
      <c r="AF27" t="str">
        <v/>
      </c>
      <c r="AG27" t="str">
        <v/>
      </c>
      <c r="AH27" t="str">
        <v/>
      </c>
      <c r="AI27" t="str">
        <v/>
      </c>
      <c r="AJ27" t="str">
        <v/>
      </c>
      <c r="AK27" t="str">
        <v/>
      </c>
      <c r="AL27" t="str">
        <v/>
      </c>
    </row>
    <row r="28" spans="2:38" x14ac:dyDescent="0.3">
      <c r="B28" t="str">
        <v>security_market_sector</v>
      </c>
      <c r="C28" t="str">
        <v>Equity</v>
      </c>
      <c r="H28" t="str">
        <v/>
      </c>
      <c r="I28" t="str">
        <v/>
      </c>
      <c r="J28" t="str">
        <v/>
      </c>
      <c r="K28" t="str">
        <v/>
      </c>
      <c r="L28" t="str">
        <v/>
      </c>
      <c r="M28" t="str">
        <v/>
      </c>
      <c r="N28" t="str">
        <v/>
      </c>
      <c r="O28" t="str">
        <v/>
      </c>
      <c r="P28" t="str">
        <v/>
      </c>
      <c r="Q28" t="str">
        <v/>
      </c>
      <c r="R28" t="str">
        <v/>
      </c>
      <c r="S28" t="str">
        <v/>
      </c>
      <c r="T28" t="str">
        <v/>
      </c>
      <c r="U28" t="str">
        <v/>
      </c>
      <c r="V28" t="str">
        <v/>
      </c>
      <c r="W28" t="str">
        <v/>
      </c>
      <c r="X28" t="str">
        <v/>
      </c>
      <c r="Y28" t="str">
        <v/>
      </c>
      <c r="Z28" t="str">
        <v/>
      </c>
      <c r="AA28" t="str">
        <v/>
      </c>
      <c r="AB28" t="str">
        <v/>
      </c>
      <c r="AC28" t="str">
        <v/>
      </c>
      <c r="AD28" t="str">
        <v/>
      </c>
      <c r="AE28" t="str">
        <v/>
      </c>
      <c r="AF28" t="str">
        <v/>
      </c>
      <c r="AG28" t="str">
        <v/>
      </c>
      <c r="AH28" t="str">
        <v/>
      </c>
      <c r="AI28" t="str">
        <v/>
      </c>
      <c r="AJ28" t="str">
        <v/>
      </c>
      <c r="AK28" t="str">
        <v/>
      </c>
      <c r="AL28" t="str">
        <v/>
      </c>
    </row>
    <row r="29" spans="2:38" x14ac:dyDescent="0.3">
      <c r="B29" t="str">
        <v>is_tradable</v>
      </c>
      <c r="C29" t="b">
        <v>1</v>
      </c>
      <c r="H29" t="str">
        <v/>
      </c>
      <c r="I29" t="str">
        <v/>
      </c>
      <c r="J29" t="str">
        <v/>
      </c>
      <c r="K29" t="str">
        <v/>
      </c>
      <c r="L29" t="str">
        <v/>
      </c>
      <c r="M29" t="str">
        <v/>
      </c>
      <c r="N29" t="str">
        <v/>
      </c>
      <c r="O29" t="str">
        <v/>
      </c>
      <c r="P29" t="str">
        <v/>
      </c>
      <c r="Q29" t="str">
        <v/>
      </c>
      <c r="R29" t="str">
        <v/>
      </c>
      <c r="S29" t="str">
        <v/>
      </c>
      <c r="T29" t="str">
        <v/>
      </c>
      <c r="U29" t="str">
        <v/>
      </c>
      <c r="V29" t="str">
        <v/>
      </c>
      <c r="W29" t="str">
        <v/>
      </c>
      <c r="X29" t="str">
        <v/>
      </c>
      <c r="Y29" t="str">
        <v/>
      </c>
      <c r="Z29" t="str">
        <v/>
      </c>
      <c r="AA29" t="str">
        <v/>
      </c>
      <c r="AB29" t="str">
        <v/>
      </c>
      <c r="AC29" t="str">
        <v/>
      </c>
      <c r="AD29" t="str">
        <v/>
      </c>
      <c r="AE29" t="str">
        <v/>
      </c>
      <c r="AF29" t="str">
        <v/>
      </c>
      <c r="AG29" t="str">
        <v/>
      </c>
      <c r="AH29" t="str">
        <v/>
      </c>
      <c r="AI29" t="str">
        <v/>
      </c>
      <c r="AJ29" t="str">
        <v/>
      </c>
      <c r="AK29" t="str">
        <v/>
      </c>
      <c r="AL29" t="str">
        <v/>
      </c>
    </row>
    <row r="30" spans="2:38" x14ac:dyDescent="0.3">
      <c r="B30" t="str">
        <v>is_custom_by_organization</v>
      </c>
      <c r="C30" t="b">
        <v>0</v>
      </c>
      <c r="H30" t="str">
        <v/>
      </c>
      <c r="I30" t="str">
        <v/>
      </c>
      <c r="J30" t="str">
        <v/>
      </c>
      <c r="K30" t="str">
        <v/>
      </c>
      <c r="L30" t="str">
        <v/>
      </c>
      <c r="M30" t="str">
        <v/>
      </c>
      <c r="N30" t="str">
        <v/>
      </c>
      <c r="O30" t="str">
        <v/>
      </c>
      <c r="P30" t="str">
        <v/>
      </c>
      <c r="Q30" t="str">
        <v/>
      </c>
      <c r="R30" t="str">
        <v/>
      </c>
      <c r="S30" t="str">
        <v/>
      </c>
      <c r="T30" t="str">
        <v/>
      </c>
      <c r="U30" t="str">
        <v/>
      </c>
      <c r="V30" t="str">
        <v/>
      </c>
      <c r="W30" t="str">
        <v/>
      </c>
      <c r="X30" t="str">
        <v/>
      </c>
      <c r="Y30" t="str">
        <v/>
      </c>
      <c r="Z30" t="str">
        <v/>
      </c>
      <c r="AA30" t="str">
        <v/>
      </c>
      <c r="AB30" t="str">
        <v/>
      </c>
      <c r="AC30" t="str">
        <v/>
      </c>
      <c r="AD30" t="str">
        <v/>
      </c>
      <c r="AE30" t="str">
        <v/>
      </c>
      <c r="AF30" t="str">
        <v/>
      </c>
      <c r="AG30" t="str">
        <v/>
      </c>
      <c r="AH30" t="str">
        <v/>
      </c>
      <c r="AI30" t="str">
        <v/>
      </c>
      <c r="AJ30" t="str">
        <v/>
      </c>
      <c r="AK30" t="str">
        <v/>
      </c>
      <c r="AL30" t="str">
        <v/>
      </c>
    </row>
    <row r="31" spans="2:38" x14ac:dyDescent="0.3">
      <c r="B31" t="str">
        <v>current_snapshot</v>
      </c>
      <c r="C31" t="str">
        <v>{"orm_class": "AssetSnapshot", "id": null, "asset": 5337, "effective_from": "2025-08-04 00:00:00+00:00", "effective_to": null, "name": "MOLSON COORS BEVERAGE CO - B", "ticker": "TAP", "exchange_code": "US", "asset_ticker_group_id": "BBG001S5VQ21", "venue_specific_properties": null}</v>
      </c>
      <c r="H31" t="str">
        <v/>
      </c>
      <c r="I31" t="str">
        <v/>
      </c>
      <c r="J31" t="str">
        <v/>
      </c>
      <c r="K31" t="str">
        <v/>
      </c>
      <c r="L31" t="str">
        <v/>
      </c>
      <c r="M31" t="str">
        <v/>
      </c>
      <c r="N31" t="str">
        <v/>
      </c>
      <c r="O31" t="str">
        <v/>
      </c>
      <c r="P31" t="str">
        <v/>
      </c>
      <c r="Q31" t="str">
        <v/>
      </c>
      <c r="R31" t="str">
        <v/>
      </c>
      <c r="S31" t="str">
        <v/>
      </c>
      <c r="T31" t="str">
        <v/>
      </c>
      <c r="U31" t="str">
        <v/>
      </c>
      <c r="V31" t="str">
        <v/>
      </c>
      <c r="W31" t="str">
        <v/>
      </c>
      <c r="X31" t="str">
        <v/>
      </c>
      <c r="Y31" t="str">
        <v/>
      </c>
      <c r="Z31" t="str">
        <v/>
      </c>
      <c r="AA31" t="str">
        <v/>
      </c>
      <c r="AB31" t="str">
        <v/>
      </c>
      <c r="AC31" t="str">
        <v/>
      </c>
      <c r="AD31" t="str">
        <v/>
      </c>
      <c r="AE31" t="str">
        <v/>
      </c>
      <c r="AF31" t="str">
        <v/>
      </c>
      <c r="AG31" t="str">
        <v/>
      </c>
      <c r="AH31" t="str">
        <v/>
      </c>
      <c r="AI31" t="str">
        <v/>
      </c>
      <c r="AJ31" t="str">
        <v/>
      </c>
      <c r="AK31" t="str">
        <v/>
      </c>
      <c r="AL31" t="str">
        <v/>
      </c>
    </row>
    <row r="32" spans="2:38" x14ac:dyDescent="0.3">
      <c r="B32" t="str">
        <v>current_pricing_detail</v>
      </c>
      <c r="C32" t="e">
        <v>#N/A</v>
      </c>
      <c r="H32" t="str">
        <v/>
      </c>
      <c r="I32" t="str">
        <v/>
      </c>
      <c r="J32" t="str">
        <v/>
      </c>
      <c r="K32" t="str">
        <v/>
      </c>
      <c r="L32" t="str">
        <v/>
      </c>
      <c r="M32" t="str">
        <v/>
      </c>
      <c r="N32" t="str">
        <v/>
      </c>
      <c r="O32" t="str">
        <v/>
      </c>
      <c r="P32" t="str">
        <v/>
      </c>
      <c r="Q32" t="str">
        <v/>
      </c>
      <c r="R32" t="str">
        <v/>
      </c>
      <c r="S32" t="str">
        <v/>
      </c>
      <c r="T32" t="str">
        <v/>
      </c>
      <c r="U32" t="str">
        <v/>
      </c>
      <c r="V32" t="str">
        <v/>
      </c>
      <c r="W32" t="str">
        <v/>
      </c>
      <c r="X32" t="str">
        <v/>
      </c>
      <c r="Y32" t="str">
        <v/>
      </c>
      <c r="Z32" t="str">
        <v/>
      </c>
      <c r="AA32" t="str">
        <v/>
      </c>
      <c r="AB32" t="str">
        <v/>
      </c>
      <c r="AC32" t="str">
        <v/>
      </c>
      <c r="AD32" t="str">
        <v/>
      </c>
      <c r="AE32" t="str">
        <v/>
      </c>
      <c r="AF32" t="str">
        <v/>
      </c>
      <c r="AG32" t="str">
        <v/>
      </c>
      <c r="AH32" t="str">
        <v/>
      </c>
      <c r="AI32" t="str">
        <v/>
      </c>
      <c r="AJ32" t="str">
        <v/>
      </c>
      <c r="AK32" t="str">
        <v/>
      </c>
      <c r="AL32" t="str">
        <v/>
      </c>
    </row>
    <row r="33" spans="2:38" x14ac:dyDescent="0.3">
      <c r="B33" t="e">
        <v>#N/A</v>
      </c>
      <c r="C33" t="e">
        <v>#N/A</v>
      </c>
      <c r="H33" t="str">
        <v/>
      </c>
      <c r="I33" t="str">
        <v/>
      </c>
      <c r="J33" t="str">
        <v/>
      </c>
      <c r="K33" t="str">
        <v/>
      </c>
      <c r="L33" t="str">
        <v/>
      </c>
      <c r="M33" t="str">
        <v/>
      </c>
      <c r="N33" t="str">
        <v/>
      </c>
      <c r="O33" t="str">
        <v/>
      </c>
      <c r="P33" t="str">
        <v/>
      </c>
      <c r="Q33" t="str">
        <v/>
      </c>
      <c r="R33" t="str">
        <v/>
      </c>
      <c r="S33" t="str">
        <v/>
      </c>
      <c r="T33" t="str">
        <v/>
      </c>
      <c r="U33" t="str">
        <v/>
      </c>
      <c r="V33" t="str">
        <v/>
      </c>
      <c r="W33" t="str">
        <v/>
      </c>
      <c r="X33" t="str">
        <v/>
      </c>
      <c r="Y33" t="str">
        <v/>
      </c>
      <c r="Z33" t="str">
        <v/>
      </c>
      <c r="AA33" t="str">
        <v/>
      </c>
      <c r="AB33" t="str">
        <v/>
      </c>
      <c r="AC33" t="str">
        <v/>
      </c>
      <c r="AD33" t="str">
        <v/>
      </c>
      <c r="AE33" t="str">
        <v/>
      </c>
      <c r="AF33" t="str">
        <v/>
      </c>
      <c r="AG33" t="str">
        <v/>
      </c>
      <c r="AH33" t="str">
        <v/>
      </c>
      <c r="AI33" t="str">
        <v/>
      </c>
      <c r="AJ33" t="str">
        <v/>
      </c>
      <c r="AK33" t="str">
        <v/>
      </c>
      <c r="AL33" t="str">
        <v/>
      </c>
    </row>
    <row r="34" spans="2:38" x14ac:dyDescent="0.3">
      <c r="B34" t="e">
        <v>#N/A</v>
      </c>
      <c r="C34" t="e">
        <v>#N/A</v>
      </c>
      <c r="H34" t="str">
        <v/>
      </c>
      <c r="I34" t="str">
        <v/>
      </c>
      <c r="J34" t="str">
        <v/>
      </c>
      <c r="K34" t="str">
        <v/>
      </c>
      <c r="L34" t="str">
        <v/>
      </c>
      <c r="M34" t="str">
        <v/>
      </c>
      <c r="N34" t="str">
        <v/>
      </c>
      <c r="O34" t="str">
        <v/>
      </c>
      <c r="P34" t="str">
        <v/>
      </c>
      <c r="Q34" t="str">
        <v/>
      </c>
      <c r="R34" t="str">
        <v/>
      </c>
      <c r="S34" t="str">
        <v/>
      </c>
      <c r="T34" t="str">
        <v/>
      </c>
      <c r="U34" t="str">
        <v/>
      </c>
      <c r="V34" t="str">
        <v/>
      </c>
      <c r="W34" t="str">
        <v/>
      </c>
      <c r="X34" t="str">
        <v/>
      </c>
      <c r="Y34" t="str">
        <v/>
      </c>
      <c r="Z34" t="str">
        <v/>
      </c>
      <c r="AA34" t="str">
        <v/>
      </c>
      <c r="AB34" t="str">
        <v/>
      </c>
      <c r="AC34" t="str">
        <v/>
      </c>
      <c r="AD34" t="str">
        <v/>
      </c>
      <c r="AE34" t="str">
        <v/>
      </c>
      <c r="AF34" t="str">
        <v/>
      </c>
      <c r="AG34" t="str">
        <v/>
      </c>
      <c r="AH34" t="str">
        <v/>
      </c>
      <c r="AI34" t="str">
        <v/>
      </c>
      <c r="AJ34" t="str">
        <v/>
      </c>
      <c r="AK34" t="str">
        <v/>
      </c>
      <c r="AL34" t="str">
        <v/>
      </c>
    </row>
    <row r="35" spans="2:38" x14ac:dyDescent="0.3">
      <c r="B35" t="e">
        <v>#N/A</v>
      </c>
      <c r="C35" t="e">
        <v>#N/A</v>
      </c>
      <c r="H35" t="str">
        <v/>
      </c>
      <c r="I35" t="str">
        <v/>
      </c>
      <c r="J35" t="str">
        <v/>
      </c>
      <c r="K35" t="str">
        <v/>
      </c>
      <c r="L35" t="str">
        <v/>
      </c>
      <c r="M35" t="str">
        <v/>
      </c>
      <c r="N35" t="str">
        <v/>
      </c>
      <c r="O35" t="str">
        <v/>
      </c>
      <c r="P35" t="str">
        <v/>
      </c>
      <c r="Q35" t="str">
        <v/>
      </c>
      <c r="R35" t="str">
        <v/>
      </c>
      <c r="S35" t="str">
        <v/>
      </c>
      <c r="T35" t="str">
        <v/>
      </c>
      <c r="U35" t="str">
        <v/>
      </c>
      <c r="V35" t="str">
        <v/>
      </c>
      <c r="W35" t="str">
        <v/>
      </c>
      <c r="X35" t="str">
        <v/>
      </c>
      <c r="Y35" t="str">
        <v/>
      </c>
      <c r="Z35" t="str">
        <v/>
      </c>
      <c r="AA35" t="str">
        <v/>
      </c>
      <c r="AB35" t="str">
        <v/>
      </c>
      <c r="AC35" t="str">
        <v/>
      </c>
      <c r="AD35" t="str">
        <v/>
      </c>
      <c r="AE35" t="str">
        <v/>
      </c>
      <c r="AF35" t="str">
        <v/>
      </c>
      <c r="AG35" t="str">
        <v/>
      </c>
      <c r="AH35" t="str">
        <v/>
      </c>
      <c r="AI35" t="str">
        <v/>
      </c>
      <c r="AJ35" t="str">
        <v/>
      </c>
      <c r="AK35" t="str">
        <v/>
      </c>
      <c r="AL35" t="str">
        <v/>
      </c>
    </row>
    <row r="36" spans="2:38" x14ac:dyDescent="0.3">
      <c r="B36" t="e">
        <v>#N/A</v>
      </c>
      <c r="C36" t="e">
        <v>#N/A</v>
      </c>
      <c r="H36" t="str">
        <v/>
      </c>
      <c r="I36" t="str">
        <v/>
      </c>
      <c r="J36" t="str">
        <v/>
      </c>
      <c r="K36" t="str">
        <v/>
      </c>
      <c r="L36" t="str">
        <v/>
      </c>
      <c r="M36" t="str">
        <v/>
      </c>
      <c r="N36" t="str">
        <v/>
      </c>
      <c r="O36" t="str">
        <v/>
      </c>
      <c r="P36" t="str">
        <v/>
      </c>
      <c r="Q36" t="str">
        <v/>
      </c>
      <c r="R36" t="str">
        <v/>
      </c>
      <c r="S36" t="str">
        <v/>
      </c>
      <c r="T36" t="str">
        <v/>
      </c>
      <c r="U36" t="str">
        <v/>
      </c>
      <c r="V36" t="str">
        <v/>
      </c>
      <c r="W36" t="str">
        <v/>
      </c>
      <c r="X36" t="str">
        <v/>
      </c>
      <c r="Y36" t="str">
        <v/>
      </c>
      <c r="Z36" t="str">
        <v/>
      </c>
      <c r="AA36" t="str">
        <v/>
      </c>
      <c r="AB36" t="str">
        <v/>
      </c>
      <c r="AC36" t="str">
        <v/>
      </c>
      <c r="AD36" t="str">
        <v/>
      </c>
      <c r="AE36" t="str">
        <v/>
      </c>
      <c r="AF36" t="str">
        <v/>
      </c>
      <c r="AG36" t="str">
        <v/>
      </c>
      <c r="AH36" t="str">
        <v/>
      </c>
      <c r="AI36" t="str">
        <v/>
      </c>
      <c r="AJ36" t="str">
        <v/>
      </c>
      <c r="AK36" t="str">
        <v/>
      </c>
      <c r="AL36" t="str">
        <v/>
      </c>
    </row>
    <row r="37" spans="2:38" x14ac:dyDescent="0.3">
      <c r="B37" t="e">
        <v>#N/A</v>
      </c>
      <c r="C37" t="e">
        <v>#N/A</v>
      </c>
      <c r="H37" t="str">
        <v/>
      </c>
      <c r="I37" t="str">
        <v/>
      </c>
      <c r="J37" t="str">
        <v/>
      </c>
      <c r="K37" t="str">
        <v/>
      </c>
      <c r="L37" t="str">
        <v/>
      </c>
      <c r="M37" t="str">
        <v/>
      </c>
      <c r="N37" t="str">
        <v/>
      </c>
      <c r="O37" t="str">
        <v/>
      </c>
      <c r="P37" t="str">
        <v/>
      </c>
      <c r="Q37" t="str">
        <v/>
      </c>
      <c r="R37" t="str">
        <v/>
      </c>
      <c r="S37" t="str">
        <v/>
      </c>
      <c r="T37" t="str">
        <v/>
      </c>
      <c r="U37" t="str">
        <v/>
      </c>
      <c r="V37" t="str">
        <v/>
      </c>
      <c r="W37" t="str">
        <v/>
      </c>
      <c r="X37" t="str">
        <v/>
      </c>
      <c r="Y37" t="str">
        <v/>
      </c>
      <c r="Z37" t="str">
        <v/>
      </c>
      <c r="AA37" t="str">
        <v/>
      </c>
      <c r="AB37" t="str">
        <v/>
      </c>
      <c r="AC37" t="str">
        <v/>
      </c>
      <c r="AD37" t="str">
        <v/>
      </c>
      <c r="AE37" t="str">
        <v/>
      </c>
      <c r="AF37" t="str">
        <v/>
      </c>
      <c r="AG37" t="str">
        <v/>
      </c>
      <c r="AH37" t="str">
        <v/>
      </c>
      <c r="AI37" t="str">
        <v/>
      </c>
      <c r="AJ37" t="str">
        <v/>
      </c>
      <c r="AK37" t="str">
        <v/>
      </c>
      <c r="AL37" t="str">
        <v/>
      </c>
    </row>
    <row r="38" spans="2:38" x14ac:dyDescent="0.3">
      <c r="B38" t="e">
        <v>#N/A</v>
      </c>
      <c r="C38" t="e">
        <v>#N/A</v>
      </c>
      <c r="H38" t="str">
        <v/>
      </c>
      <c r="I38" t="str">
        <v/>
      </c>
      <c r="J38" t="str">
        <v/>
      </c>
      <c r="K38" t="str">
        <v/>
      </c>
      <c r="L38" t="str">
        <v/>
      </c>
      <c r="M38" t="str">
        <v/>
      </c>
      <c r="N38" t="str">
        <v/>
      </c>
      <c r="O38" t="str">
        <v/>
      </c>
      <c r="P38" t="str">
        <v/>
      </c>
      <c r="Q38" t="str">
        <v/>
      </c>
      <c r="R38" t="str">
        <v/>
      </c>
      <c r="S38" t="str">
        <v/>
      </c>
      <c r="T38" t="str">
        <v/>
      </c>
      <c r="U38" t="str">
        <v/>
      </c>
      <c r="V38" t="str">
        <v/>
      </c>
      <c r="W38" t="str">
        <v/>
      </c>
      <c r="X38" t="str">
        <v/>
      </c>
      <c r="Y38" t="str">
        <v/>
      </c>
      <c r="Z38" t="str">
        <v/>
      </c>
      <c r="AA38" t="str">
        <v/>
      </c>
      <c r="AB38" t="str">
        <v/>
      </c>
      <c r="AC38" t="str">
        <v/>
      </c>
      <c r="AD38" t="str">
        <v/>
      </c>
      <c r="AE38" t="str">
        <v/>
      </c>
      <c r="AF38" t="str">
        <v/>
      </c>
      <c r="AG38" t="str">
        <v/>
      </c>
      <c r="AH38" t="str">
        <v/>
      </c>
      <c r="AI38" t="str">
        <v/>
      </c>
      <c r="AJ38" t="str">
        <v/>
      </c>
      <c r="AK38" t="str">
        <v/>
      </c>
      <c r="AL38" t="str">
        <v/>
      </c>
    </row>
    <row r="39" spans="2:38" x14ac:dyDescent="0.3">
      <c r="B39" t="e">
        <v>#N/A</v>
      </c>
      <c r="C39" t="e">
        <v>#N/A</v>
      </c>
      <c r="H39" t="str">
        <v/>
      </c>
      <c r="I39" t="str">
        <v/>
      </c>
      <c r="J39" t="str">
        <v/>
      </c>
      <c r="K39" t="str">
        <v/>
      </c>
      <c r="L39" t="str">
        <v/>
      </c>
      <c r="M39" t="str">
        <v/>
      </c>
      <c r="N39" t="str">
        <v/>
      </c>
      <c r="O39" t="str">
        <v/>
      </c>
      <c r="P39" t="str">
        <v/>
      </c>
      <c r="Q39" t="str">
        <v/>
      </c>
      <c r="R39" t="str">
        <v/>
      </c>
      <c r="S39" t="str">
        <v/>
      </c>
      <c r="T39" t="str">
        <v/>
      </c>
      <c r="U39" t="str">
        <v/>
      </c>
      <c r="V39" t="str">
        <v/>
      </c>
      <c r="W39" t="str">
        <v/>
      </c>
      <c r="X39" t="str">
        <v/>
      </c>
      <c r="Y39" t="str">
        <v/>
      </c>
      <c r="Z39" t="str">
        <v/>
      </c>
      <c r="AA39" t="str">
        <v/>
      </c>
      <c r="AB39" t="str">
        <v/>
      </c>
      <c r="AC39" t="str">
        <v/>
      </c>
      <c r="AD39" t="str">
        <v/>
      </c>
      <c r="AE39" t="str">
        <v/>
      </c>
      <c r="AF39" t="str">
        <v/>
      </c>
      <c r="AG39" t="str">
        <v/>
      </c>
      <c r="AH39" t="str">
        <v/>
      </c>
      <c r="AI39" t="str">
        <v/>
      </c>
      <c r="AJ39" t="str">
        <v/>
      </c>
      <c r="AK39" t="str">
        <v/>
      </c>
      <c r="AL39" t="str">
        <v/>
      </c>
    </row>
    <row r="40" spans="2:38" x14ac:dyDescent="0.3">
      <c r="H40" t="str">
        <v/>
      </c>
      <c r="I40" t="str">
        <v/>
      </c>
      <c r="J40" t="str">
        <v/>
      </c>
      <c r="K40" t="str">
        <v/>
      </c>
      <c r="L40" t="str">
        <v/>
      </c>
      <c r="M40" t="str">
        <v/>
      </c>
      <c r="N40" t="str">
        <v/>
      </c>
      <c r="O40" t="str">
        <v/>
      </c>
      <c r="P40" t="str">
        <v/>
      </c>
      <c r="Q40" t="str">
        <v/>
      </c>
      <c r="R40" t="str">
        <v/>
      </c>
      <c r="S40" t="str">
        <v/>
      </c>
      <c r="T40" t="str">
        <v/>
      </c>
      <c r="U40" t="str">
        <v/>
      </c>
      <c r="V40" t="str">
        <v/>
      </c>
      <c r="W40" t="str">
        <v/>
      </c>
      <c r="X40" t="str">
        <v/>
      </c>
      <c r="Y40" t="str">
        <v/>
      </c>
      <c r="Z40" t="str">
        <v/>
      </c>
      <c r="AA40" t="str">
        <v/>
      </c>
      <c r="AB40" t="str">
        <v/>
      </c>
      <c r="AC40" t="str">
        <v/>
      </c>
      <c r="AD40" t="str">
        <v/>
      </c>
      <c r="AE40" t="str">
        <v/>
      </c>
      <c r="AF40" t="str">
        <v/>
      </c>
      <c r="AG40" t="str">
        <v/>
      </c>
      <c r="AH40" t="str">
        <v/>
      </c>
      <c r="AI40" t="str">
        <v/>
      </c>
      <c r="AJ40" t="str">
        <v/>
      </c>
      <c r="AK40" t="str">
        <v/>
      </c>
      <c r="AL40" t="str">
        <v/>
      </c>
    </row>
    <row r="41" spans="2:38" x14ac:dyDescent="0.3">
      <c r="H41" t="str">
        <v/>
      </c>
      <c r="I41" t="str">
        <v/>
      </c>
      <c r="J41" t="str">
        <v/>
      </c>
      <c r="K41" t="str">
        <v/>
      </c>
      <c r="L41" t="str">
        <v/>
      </c>
      <c r="M41" t="str">
        <v/>
      </c>
      <c r="N41" t="str">
        <v/>
      </c>
      <c r="O41" t="str">
        <v/>
      </c>
      <c r="P41" t="str">
        <v/>
      </c>
      <c r="Q41" t="str">
        <v/>
      </c>
      <c r="R41" t="str">
        <v/>
      </c>
      <c r="S41" t="str">
        <v/>
      </c>
      <c r="T41" t="str">
        <v/>
      </c>
      <c r="U41" t="str">
        <v/>
      </c>
      <c r="V41" t="str">
        <v/>
      </c>
      <c r="W41" t="str">
        <v/>
      </c>
      <c r="X41" t="str">
        <v/>
      </c>
      <c r="Y41" t="str">
        <v/>
      </c>
      <c r="Z41" t="str">
        <v/>
      </c>
      <c r="AA41" t="str">
        <v/>
      </c>
      <c r="AB41" t="str">
        <v/>
      </c>
      <c r="AC41" t="str">
        <v/>
      </c>
      <c r="AD41" t="str">
        <v/>
      </c>
      <c r="AE41" t="str">
        <v/>
      </c>
      <c r="AF41" t="str">
        <v/>
      </c>
      <c r="AG41" t="str">
        <v/>
      </c>
      <c r="AH41" t="str">
        <v/>
      </c>
      <c r="AI41" t="str">
        <v/>
      </c>
      <c r="AJ41" t="str">
        <v/>
      </c>
      <c r="AK41" t="str">
        <v/>
      </c>
      <c r="AL41" t="str">
        <v/>
      </c>
    </row>
    <row r="42" spans="2:38" x14ac:dyDescent="0.3">
      <c r="H42" t="str">
        <v/>
      </c>
      <c r="I42" t="str">
        <v/>
      </c>
      <c r="J42" t="str">
        <v/>
      </c>
      <c r="K42" t="str">
        <v/>
      </c>
      <c r="L42" t="str">
        <v/>
      </c>
      <c r="M42" t="str">
        <v/>
      </c>
      <c r="N42" t="str">
        <v/>
      </c>
      <c r="O42" t="str">
        <v/>
      </c>
      <c r="P42" t="str">
        <v/>
      </c>
      <c r="Q42" t="str">
        <v/>
      </c>
      <c r="R42" t="str">
        <v/>
      </c>
      <c r="S42" t="str">
        <v/>
      </c>
      <c r="T42" t="str">
        <v/>
      </c>
      <c r="U42" t="str">
        <v/>
      </c>
      <c r="V42" t="str">
        <v/>
      </c>
      <c r="W42" t="str">
        <v/>
      </c>
      <c r="X42" t="str">
        <v/>
      </c>
      <c r="Y42" t="str">
        <v/>
      </c>
      <c r="Z42" t="str">
        <v/>
      </c>
      <c r="AA42" t="str">
        <v/>
      </c>
      <c r="AB42" t="str">
        <v/>
      </c>
      <c r="AC42" t="str">
        <v/>
      </c>
      <c r="AD42" t="str">
        <v/>
      </c>
      <c r="AE42" t="str">
        <v/>
      </c>
      <c r="AF42" t="str">
        <v/>
      </c>
      <c r="AG42" t="str">
        <v/>
      </c>
      <c r="AH42" t="str">
        <v/>
      </c>
      <c r="AI42" t="str">
        <v/>
      </c>
      <c r="AJ42" t="str">
        <v/>
      </c>
      <c r="AK42" t="str">
        <v/>
      </c>
      <c r="AL42" t="str">
        <v/>
      </c>
    </row>
    <row r="43" spans="2:38" x14ac:dyDescent="0.3">
      <c r="B43" s="6" t="s">
        <v>12</v>
      </c>
      <c r="C43" s="6" t="str">
        <f>B11</f>
        <v>BBG000BS7KS3</v>
      </c>
      <c r="D43" t="str">
        <f>_xll.MS.GET_ASSET_FIELD(C43,"current_snapshot.ticker")</f>
        <v>TAP</v>
      </c>
      <c r="H43" t="str">
        <v/>
      </c>
      <c r="I43" t="str">
        <v/>
      </c>
      <c r="J43" t="str">
        <v/>
      </c>
      <c r="K43" t="str">
        <v/>
      </c>
      <c r="L43" t="str">
        <v/>
      </c>
      <c r="M43" t="str">
        <v/>
      </c>
      <c r="N43" t="str">
        <v/>
      </c>
      <c r="O43" t="str">
        <v/>
      </c>
      <c r="P43" t="str">
        <v/>
      </c>
      <c r="Q43" t="str">
        <v/>
      </c>
      <c r="R43" t="str">
        <v/>
      </c>
      <c r="S43" t="str">
        <v/>
      </c>
      <c r="T43" t="str">
        <v/>
      </c>
      <c r="U43" t="str">
        <v/>
      </c>
      <c r="V43" t="str">
        <v/>
      </c>
      <c r="W43" t="str">
        <v/>
      </c>
      <c r="X43" t="str">
        <v/>
      </c>
      <c r="Y43" t="str">
        <v/>
      </c>
      <c r="Z43" t="str">
        <v/>
      </c>
      <c r="AA43" t="str">
        <v/>
      </c>
      <c r="AB43" t="str">
        <v/>
      </c>
      <c r="AC43" t="str">
        <v/>
      </c>
      <c r="AD43" t="str">
        <v/>
      </c>
      <c r="AE43" t="str">
        <v/>
      </c>
      <c r="AF43" t="str">
        <v/>
      </c>
      <c r="AG43" t="str">
        <v/>
      </c>
      <c r="AH43" t="str">
        <v/>
      </c>
      <c r="AI43" t="str">
        <v/>
      </c>
      <c r="AJ43" t="str">
        <v/>
      </c>
      <c r="AK43" t="str">
        <v/>
      </c>
      <c r="AL43" t="str">
        <v/>
      </c>
    </row>
    <row r="44" spans="2:38" x14ac:dyDescent="0.3">
      <c r="B44" t="str">
        <f t="array" ref="B44:C60">_xll.MS.GET_ASSET(C43)</f>
        <v>field</v>
      </c>
      <c r="C44" t="str">
        <v>value</v>
      </c>
      <c r="H44" t="str">
        <v/>
      </c>
      <c r="I44" t="str">
        <v/>
      </c>
      <c r="J44" t="str">
        <v/>
      </c>
      <c r="K44" t="str">
        <v/>
      </c>
      <c r="L44" t="str">
        <v/>
      </c>
      <c r="M44" t="str">
        <v/>
      </c>
      <c r="N44" t="str">
        <v/>
      </c>
      <c r="O44" t="str">
        <v/>
      </c>
      <c r="P44" t="str">
        <v/>
      </c>
      <c r="Q44" t="str">
        <v/>
      </c>
      <c r="R44" t="str">
        <v/>
      </c>
      <c r="S44" t="str">
        <v/>
      </c>
      <c r="T44" t="str">
        <v/>
      </c>
      <c r="U44" t="str">
        <v/>
      </c>
      <c r="V44" t="str">
        <v/>
      </c>
      <c r="W44" t="str">
        <v/>
      </c>
      <c r="X44" t="str">
        <v/>
      </c>
      <c r="Y44" t="str">
        <v/>
      </c>
      <c r="Z44" t="str">
        <v/>
      </c>
      <c r="AA44" t="str">
        <v/>
      </c>
      <c r="AB44" t="str">
        <v/>
      </c>
      <c r="AC44" t="str">
        <v/>
      </c>
      <c r="AD44" t="str">
        <v/>
      </c>
      <c r="AE44" t="str">
        <v/>
      </c>
      <c r="AF44" t="str">
        <v/>
      </c>
      <c r="AG44" t="str">
        <v/>
      </c>
      <c r="AH44" t="str">
        <v/>
      </c>
      <c r="AI44" t="str">
        <v/>
      </c>
      <c r="AJ44" t="str">
        <v/>
      </c>
      <c r="AK44" t="str">
        <v/>
      </c>
      <c r="AL44" t="str">
        <v/>
      </c>
    </row>
    <row r="45" spans="2:38" x14ac:dyDescent="0.3">
      <c r="B45" t="str">
        <v>orm_class</v>
      </c>
      <c r="C45" t="str">
        <v>Asset</v>
      </c>
      <c r="H45" t="str">
        <v/>
      </c>
      <c r="I45" t="str">
        <v/>
      </c>
      <c r="J45" t="str">
        <v/>
      </c>
      <c r="K45" t="str">
        <v/>
      </c>
      <c r="L45" t="str">
        <v/>
      </c>
      <c r="M45" t="str">
        <v/>
      </c>
      <c r="N45" t="str">
        <v/>
      </c>
      <c r="O45" t="str">
        <v/>
      </c>
      <c r="P45" t="str">
        <v/>
      </c>
      <c r="Q45" t="str">
        <v/>
      </c>
      <c r="R45" t="str">
        <v/>
      </c>
      <c r="S45" t="str">
        <v/>
      </c>
      <c r="T45" t="str">
        <v/>
      </c>
      <c r="U45" t="str">
        <v/>
      </c>
      <c r="V45" t="str">
        <v/>
      </c>
      <c r="W45" t="str">
        <v/>
      </c>
      <c r="X45" t="str">
        <v/>
      </c>
      <c r="Y45" t="str">
        <v/>
      </c>
      <c r="Z45" t="str">
        <v/>
      </c>
      <c r="AA45" t="str">
        <v/>
      </c>
      <c r="AB45" t="str">
        <v/>
      </c>
      <c r="AC45" t="str">
        <v/>
      </c>
      <c r="AD45" t="str">
        <v/>
      </c>
      <c r="AE45" t="str">
        <v/>
      </c>
      <c r="AF45" t="str">
        <v/>
      </c>
      <c r="AG45" t="str">
        <v/>
      </c>
      <c r="AH45" t="str">
        <v/>
      </c>
      <c r="AI45" t="str">
        <v/>
      </c>
      <c r="AJ45" t="str">
        <v/>
      </c>
      <c r="AK45" t="str">
        <v/>
      </c>
      <c r="AL45" t="str">
        <v/>
      </c>
    </row>
    <row r="46" spans="2:38" x14ac:dyDescent="0.3">
      <c r="B46" t="str">
        <v>id</v>
      </c>
      <c r="C46">
        <v>5337</v>
      </c>
      <c r="H46" t="str">
        <v/>
      </c>
      <c r="I46" t="str">
        <v/>
      </c>
      <c r="J46" t="str">
        <v/>
      </c>
      <c r="K46" t="str">
        <v/>
      </c>
      <c r="L46" t="str">
        <v/>
      </c>
      <c r="M46" t="str">
        <v/>
      </c>
      <c r="N46" t="str">
        <v/>
      </c>
      <c r="O46" t="str">
        <v/>
      </c>
      <c r="P46" t="str">
        <v/>
      </c>
      <c r="Q46" t="str">
        <v/>
      </c>
      <c r="R46" t="str">
        <v/>
      </c>
      <c r="S46" t="str">
        <v/>
      </c>
      <c r="T46" t="str">
        <v/>
      </c>
      <c r="U46" t="str">
        <v/>
      </c>
      <c r="V46" t="str">
        <v/>
      </c>
      <c r="W46" t="str">
        <v/>
      </c>
      <c r="X46" t="str">
        <v/>
      </c>
      <c r="Y46" t="str">
        <v/>
      </c>
      <c r="Z46" t="str">
        <v/>
      </c>
      <c r="AA46" t="str">
        <v/>
      </c>
      <c r="AB46" t="str">
        <v/>
      </c>
      <c r="AC46" t="str">
        <v/>
      </c>
      <c r="AD46" t="str">
        <v/>
      </c>
      <c r="AE46" t="str">
        <v/>
      </c>
      <c r="AF46" t="str">
        <v/>
      </c>
      <c r="AG46" t="str">
        <v/>
      </c>
      <c r="AH46" t="str">
        <v/>
      </c>
      <c r="AI46" t="str">
        <v/>
      </c>
      <c r="AJ46" t="str">
        <v/>
      </c>
      <c r="AK46" t="str">
        <v/>
      </c>
      <c r="AL46" t="str">
        <v/>
      </c>
    </row>
    <row r="47" spans="2:38" x14ac:dyDescent="0.3">
      <c r="B47" t="str">
        <v>unique_identifier</v>
      </c>
      <c r="C47" t="str">
        <v>BBG000BS7KS3</v>
      </c>
      <c r="H47" t="str">
        <v/>
      </c>
      <c r="I47" t="str">
        <v/>
      </c>
      <c r="J47" t="str">
        <v/>
      </c>
      <c r="K47" t="str">
        <v/>
      </c>
      <c r="L47" t="str">
        <v/>
      </c>
      <c r="M47" t="str">
        <v/>
      </c>
      <c r="N47" t="str">
        <v/>
      </c>
      <c r="O47" t="str">
        <v/>
      </c>
      <c r="P47" t="str">
        <v/>
      </c>
      <c r="Q47" t="str">
        <v/>
      </c>
      <c r="R47" t="str">
        <v/>
      </c>
      <c r="S47" t="str">
        <v/>
      </c>
      <c r="T47" t="str">
        <v/>
      </c>
      <c r="U47" t="str">
        <v/>
      </c>
      <c r="V47" t="str">
        <v/>
      </c>
      <c r="W47" t="str">
        <v/>
      </c>
      <c r="X47" t="str">
        <v/>
      </c>
      <c r="Y47" t="str">
        <v/>
      </c>
      <c r="Z47" t="str">
        <v/>
      </c>
      <c r="AA47" t="str">
        <v/>
      </c>
      <c r="AB47" t="str">
        <v/>
      </c>
      <c r="AC47" t="str">
        <v/>
      </c>
      <c r="AD47" t="str">
        <v/>
      </c>
      <c r="AE47" t="str">
        <v/>
      </c>
      <c r="AF47" t="str">
        <v/>
      </c>
      <c r="AG47" t="str">
        <v/>
      </c>
      <c r="AH47" t="str">
        <v/>
      </c>
      <c r="AI47" t="str">
        <v/>
      </c>
      <c r="AJ47" t="str">
        <v/>
      </c>
      <c r="AK47" t="str">
        <v/>
      </c>
      <c r="AL47" t="str">
        <v/>
      </c>
    </row>
    <row r="48" spans="2:38" x14ac:dyDescent="0.3">
      <c r="B48" t="str">
        <v>figi</v>
      </c>
      <c r="C48" t="str">
        <v>BBG000BS7KS3</v>
      </c>
      <c r="H48" t="str">
        <v/>
      </c>
      <c r="I48" t="str">
        <v/>
      </c>
      <c r="J48" t="str">
        <v/>
      </c>
      <c r="K48" t="str">
        <v/>
      </c>
      <c r="L48" t="str">
        <v/>
      </c>
      <c r="M48" t="str">
        <v/>
      </c>
      <c r="N48" t="str">
        <v/>
      </c>
      <c r="O48" t="str">
        <v/>
      </c>
      <c r="P48" t="str">
        <v/>
      </c>
      <c r="Q48" t="str">
        <v/>
      </c>
      <c r="R48" t="str">
        <v/>
      </c>
      <c r="S48" t="str">
        <v/>
      </c>
      <c r="T48" t="str">
        <v/>
      </c>
      <c r="U48" t="str">
        <v/>
      </c>
      <c r="V48" t="str">
        <v/>
      </c>
      <c r="W48" t="str">
        <v/>
      </c>
      <c r="X48" t="str">
        <v/>
      </c>
      <c r="Y48" t="str">
        <v/>
      </c>
      <c r="Z48" t="str">
        <v/>
      </c>
      <c r="AA48" t="str">
        <v/>
      </c>
      <c r="AB48" t="str">
        <v/>
      </c>
      <c r="AC48" t="str">
        <v/>
      </c>
      <c r="AD48" t="str">
        <v/>
      </c>
      <c r="AE48" t="str">
        <v/>
      </c>
      <c r="AF48" t="str">
        <v/>
      </c>
      <c r="AG48" t="str">
        <v/>
      </c>
      <c r="AH48" t="str">
        <v/>
      </c>
      <c r="AI48" t="str">
        <v/>
      </c>
      <c r="AJ48" t="str">
        <v/>
      </c>
      <c r="AK48" t="str">
        <v/>
      </c>
      <c r="AL48" t="str">
        <v/>
      </c>
    </row>
    <row r="49" spans="2:38" x14ac:dyDescent="0.3">
      <c r="B49" t="str">
        <v>composite</v>
      </c>
      <c r="C49" t="str">
        <v>BBG000BS7KS3</v>
      </c>
      <c r="H49" t="str">
        <v/>
      </c>
      <c r="I49" t="str">
        <v/>
      </c>
      <c r="J49" t="str">
        <v/>
      </c>
      <c r="K49" t="str">
        <v/>
      </c>
      <c r="L49" t="str">
        <v/>
      </c>
      <c r="M49" t="str">
        <v/>
      </c>
      <c r="N49" t="str">
        <v/>
      </c>
      <c r="O49" t="str">
        <v/>
      </c>
      <c r="P49" t="str">
        <v/>
      </c>
      <c r="Q49" t="str">
        <v/>
      </c>
      <c r="R49" t="str">
        <v/>
      </c>
      <c r="S49" t="str">
        <v/>
      </c>
      <c r="T49" t="str">
        <v/>
      </c>
      <c r="U49" t="str">
        <v/>
      </c>
      <c r="V49" t="str">
        <v/>
      </c>
      <c r="W49" t="str">
        <v/>
      </c>
      <c r="X49" t="str">
        <v/>
      </c>
      <c r="Y49" t="str">
        <v/>
      </c>
      <c r="Z49" t="str">
        <v/>
      </c>
      <c r="AA49" t="str">
        <v/>
      </c>
      <c r="AB49" t="str">
        <v/>
      </c>
      <c r="AC49" t="str">
        <v/>
      </c>
      <c r="AD49" t="str">
        <v/>
      </c>
      <c r="AE49" t="str">
        <v/>
      </c>
      <c r="AF49" t="str">
        <v/>
      </c>
      <c r="AG49" t="str">
        <v/>
      </c>
      <c r="AH49" t="str">
        <v/>
      </c>
      <c r="AI49" t="str">
        <v/>
      </c>
      <c r="AJ49" t="str">
        <v/>
      </c>
      <c r="AK49" t="str">
        <v/>
      </c>
      <c r="AL49" t="str">
        <v/>
      </c>
    </row>
    <row r="50" spans="2:38" x14ac:dyDescent="0.3">
      <c r="B50" t="str">
        <v>share_class</v>
      </c>
      <c r="C50" t="str">
        <v>BBG001S5VQ21</v>
      </c>
      <c r="H50" t="str">
        <v/>
      </c>
      <c r="I50" t="str">
        <v/>
      </c>
      <c r="J50" t="str">
        <v/>
      </c>
      <c r="K50" t="str">
        <v/>
      </c>
      <c r="L50" t="str">
        <v/>
      </c>
      <c r="M50" t="str">
        <v/>
      </c>
      <c r="N50" t="str">
        <v/>
      </c>
      <c r="O50" t="str">
        <v/>
      </c>
      <c r="P50" t="str">
        <v/>
      </c>
      <c r="Q50" t="str">
        <v/>
      </c>
      <c r="R50" t="str">
        <v/>
      </c>
      <c r="S50" t="str">
        <v/>
      </c>
      <c r="T50" t="str">
        <v/>
      </c>
      <c r="U50" t="str">
        <v/>
      </c>
      <c r="V50" t="str">
        <v/>
      </c>
      <c r="W50" t="str">
        <v/>
      </c>
      <c r="X50" t="str">
        <v/>
      </c>
      <c r="Y50" t="str">
        <v/>
      </c>
      <c r="Z50" t="str">
        <v/>
      </c>
      <c r="AA50" t="str">
        <v/>
      </c>
      <c r="AB50" t="str">
        <v/>
      </c>
      <c r="AC50" t="str">
        <v/>
      </c>
      <c r="AD50" t="str">
        <v/>
      </c>
      <c r="AE50" t="str">
        <v/>
      </c>
      <c r="AF50" t="str">
        <v/>
      </c>
      <c r="AG50" t="str">
        <v/>
      </c>
      <c r="AH50" t="str">
        <v/>
      </c>
      <c r="AI50" t="str">
        <v/>
      </c>
      <c r="AJ50" t="str">
        <v/>
      </c>
      <c r="AK50" t="str">
        <v/>
      </c>
      <c r="AL50" t="str">
        <v/>
      </c>
    </row>
    <row r="51" spans="2:38" x14ac:dyDescent="0.3">
      <c r="B51" t="str">
        <v>isin</v>
      </c>
      <c r="C51" t="e">
        <v>#N/A</v>
      </c>
      <c r="H51" t="str">
        <v/>
      </c>
      <c r="I51" t="str">
        <v/>
      </c>
      <c r="J51" t="str">
        <v/>
      </c>
      <c r="K51" t="str">
        <v/>
      </c>
      <c r="L51" t="str">
        <v/>
      </c>
      <c r="M51" t="str">
        <v/>
      </c>
      <c r="N51" t="str">
        <v/>
      </c>
      <c r="O51" t="str">
        <v/>
      </c>
      <c r="P51" t="str">
        <v/>
      </c>
      <c r="Q51" t="str">
        <v/>
      </c>
      <c r="R51" t="str">
        <v/>
      </c>
      <c r="S51" t="str">
        <v/>
      </c>
      <c r="T51" t="str">
        <v/>
      </c>
      <c r="U51" t="str">
        <v/>
      </c>
      <c r="V51" t="str">
        <v/>
      </c>
      <c r="W51" t="str">
        <v/>
      </c>
      <c r="X51" t="str">
        <v/>
      </c>
      <c r="Y51" t="str">
        <v/>
      </c>
      <c r="Z51" t="str">
        <v/>
      </c>
      <c r="AA51" t="str">
        <v/>
      </c>
      <c r="AB51" t="str">
        <v/>
      </c>
      <c r="AC51" t="str">
        <v/>
      </c>
      <c r="AD51" t="str">
        <v/>
      </c>
      <c r="AE51" t="str">
        <v/>
      </c>
      <c r="AF51" t="str">
        <v/>
      </c>
      <c r="AG51" t="str">
        <v/>
      </c>
      <c r="AH51" t="str">
        <v/>
      </c>
      <c r="AI51" t="str">
        <v/>
      </c>
      <c r="AJ51" t="str">
        <v/>
      </c>
      <c r="AK51" t="str">
        <v/>
      </c>
      <c r="AL51" t="str">
        <v/>
      </c>
    </row>
    <row r="52" spans="2:38" x14ac:dyDescent="0.3">
      <c r="B52" t="str">
        <v>security_type</v>
      </c>
      <c r="C52" t="str">
        <v>Common Stock</v>
      </c>
      <c r="H52" t="str">
        <v/>
      </c>
      <c r="I52" t="str">
        <v/>
      </c>
      <c r="J52" t="str">
        <v/>
      </c>
      <c r="K52" t="str">
        <v/>
      </c>
      <c r="L52" t="str">
        <v/>
      </c>
      <c r="M52" t="str">
        <v/>
      </c>
      <c r="N52" t="str">
        <v/>
      </c>
      <c r="O52" t="str">
        <v/>
      </c>
      <c r="P52" t="str">
        <v/>
      </c>
      <c r="Q52" t="str">
        <v/>
      </c>
      <c r="R52" t="str">
        <v/>
      </c>
      <c r="S52" t="str">
        <v/>
      </c>
      <c r="T52" t="str">
        <v/>
      </c>
      <c r="U52" t="str">
        <v/>
      </c>
      <c r="V52" t="str">
        <v/>
      </c>
      <c r="W52" t="str">
        <v/>
      </c>
      <c r="X52" t="str">
        <v/>
      </c>
      <c r="Y52" t="str">
        <v/>
      </c>
      <c r="Z52" t="str">
        <v/>
      </c>
      <c r="AA52" t="str">
        <v/>
      </c>
      <c r="AB52" t="str">
        <v/>
      </c>
      <c r="AC52" t="str">
        <v/>
      </c>
      <c r="AD52" t="str">
        <v/>
      </c>
      <c r="AE52" t="str">
        <v/>
      </c>
      <c r="AF52" t="str">
        <v/>
      </c>
      <c r="AG52" t="str">
        <v/>
      </c>
      <c r="AH52" t="str">
        <v/>
      </c>
      <c r="AI52" t="str">
        <v/>
      </c>
      <c r="AJ52" t="str">
        <v/>
      </c>
      <c r="AK52" t="str">
        <v/>
      </c>
      <c r="AL52" t="str">
        <v/>
      </c>
    </row>
    <row r="53" spans="2:38" x14ac:dyDescent="0.3">
      <c r="B53" t="str">
        <v>security_type_2</v>
      </c>
      <c r="C53" t="str">
        <v>Common Stock</v>
      </c>
      <c r="H53" t="str">
        <v/>
      </c>
      <c r="I53" t="str">
        <v/>
      </c>
      <c r="J53" t="str">
        <v/>
      </c>
      <c r="K53" t="str">
        <v/>
      </c>
      <c r="L53" t="str">
        <v/>
      </c>
      <c r="M53" t="str">
        <v/>
      </c>
      <c r="N53" t="str">
        <v/>
      </c>
      <c r="O53" t="str">
        <v/>
      </c>
      <c r="P53" t="str">
        <v/>
      </c>
      <c r="Q53" t="str">
        <v/>
      </c>
      <c r="R53" t="str">
        <v/>
      </c>
      <c r="S53" t="str">
        <v/>
      </c>
      <c r="T53" t="str">
        <v/>
      </c>
      <c r="U53" t="str">
        <v/>
      </c>
      <c r="V53" t="str">
        <v/>
      </c>
      <c r="W53" t="str">
        <v/>
      </c>
      <c r="X53" t="str">
        <v/>
      </c>
      <c r="Y53" t="str">
        <v/>
      </c>
      <c r="Z53" t="str">
        <v/>
      </c>
      <c r="AA53" t="str">
        <v/>
      </c>
      <c r="AB53" t="str">
        <v/>
      </c>
      <c r="AC53" t="str">
        <v/>
      </c>
      <c r="AD53" t="str">
        <v/>
      </c>
      <c r="AE53" t="str">
        <v/>
      </c>
      <c r="AF53" t="str">
        <v/>
      </c>
      <c r="AG53" t="str">
        <v/>
      </c>
      <c r="AH53" t="str">
        <v/>
      </c>
      <c r="AI53" t="str">
        <v/>
      </c>
      <c r="AJ53" t="str">
        <v/>
      </c>
      <c r="AK53" t="str">
        <v/>
      </c>
      <c r="AL53" t="str">
        <v/>
      </c>
    </row>
    <row r="54" spans="2:38" x14ac:dyDescent="0.3">
      <c r="B54" t="str">
        <v>security_market_sector</v>
      </c>
      <c r="C54" t="str">
        <v>Equity</v>
      </c>
      <c r="H54" t="str">
        <v/>
      </c>
      <c r="I54" t="str">
        <v/>
      </c>
      <c r="J54" t="str">
        <v/>
      </c>
      <c r="K54" t="str">
        <v/>
      </c>
      <c r="L54" t="str">
        <v/>
      </c>
      <c r="M54" t="str">
        <v/>
      </c>
      <c r="N54" t="str">
        <v/>
      </c>
      <c r="O54" t="str">
        <v/>
      </c>
      <c r="P54" t="str">
        <v/>
      </c>
      <c r="Q54" t="str">
        <v/>
      </c>
      <c r="R54" t="str">
        <v/>
      </c>
      <c r="S54" t="str">
        <v/>
      </c>
      <c r="T54" t="str">
        <v/>
      </c>
      <c r="U54" t="str">
        <v/>
      </c>
      <c r="V54" t="str">
        <v/>
      </c>
      <c r="W54" t="str">
        <v/>
      </c>
      <c r="X54" t="str">
        <v/>
      </c>
      <c r="Y54" t="str">
        <v/>
      </c>
      <c r="Z54" t="str">
        <v/>
      </c>
      <c r="AA54" t="str">
        <v/>
      </c>
      <c r="AB54" t="str">
        <v/>
      </c>
      <c r="AC54" t="str">
        <v/>
      </c>
      <c r="AD54" t="str">
        <v/>
      </c>
      <c r="AE54" t="str">
        <v/>
      </c>
      <c r="AF54" t="str">
        <v/>
      </c>
      <c r="AG54" t="str">
        <v/>
      </c>
      <c r="AH54" t="str">
        <v/>
      </c>
      <c r="AI54" t="str">
        <v/>
      </c>
      <c r="AJ54" t="str">
        <v/>
      </c>
      <c r="AK54" t="str">
        <v/>
      </c>
      <c r="AL54" t="str">
        <v/>
      </c>
    </row>
    <row r="55" spans="2:38" x14ac:dyDescent="0.3">
      <c r="B55" t="str">
        <v>is_tradable</v>
      </c>
      <c r="C55" t="b">
        <v>1</v>
      </c>
      <c r="H55" t="str">
        <v/>
      </c>
      <c r="I55" t="str">
        <v/>
      </c>
      <c r="J55" t="str">
        <v/>
      </c>
      <c r="K55" t="str">
        <v/>
      </c>
      <c r="L55" t="str">
        <v/>
      </c>
      <c r="M55" t="str">
        <v/>
      </c>
      <c r="N55" t="str">
        <v/>
      </c>
      <c r="O55" t="str">
        <v/>
      </c>
      <c r="P55" t="str">
        <v/>
      </c>
      <c r="Q55" t="str">
        <v/>
      </c>
      <c r="R55" t="str">
        <v/>
      </c>
      <c r="S55" t="str">
        <v/>
      </c>
      <c r="T55" t="str">
        <v/>
      </c>
      <c r="U55" t="str">
        <v/>
      </c>
      <c r="V55" t="str">
        <v/>
      </c>
      <c r="W55" t="str">
        <v/>
      </c>
      <c r="X55" t="str">
        <v/>
      </c>
      <c r="Y55" t="str">
        <v/>
      </c>
      <c r="Z55" t="str">
        <v/>
      </c>
      <c r="AA55" t="str">
        <v/>
      </c>
      <c r="AB55" t="str">
        <v/>
      </c>
      <c r="AC55" t="str">
        <v/>
      </c>
      <c r="AD55" t="str">
        <v/>
      </c>
      <c r="AE55" t="str">
        <v/>
      </c>
      <c r="AF55" t="str">
        <v/>
      </c>
      <c r="AG55" t="str">
        <v/>
      </c>
      <c r="AH55" t="str">
        <v/>
      </c>
      <c r="AI55" t="str">
        <v/>
      </c>
      <c r="AJ55" t="str">
        <v/>
      </c>
      <c r="AK55" t="str">
        <v/>
      </c>
      <c r="AL55" t="str">
        <v/>
      </c>
    </row>
    <row r="56" spans="2:38" x14ac:dyDescent="0.3">
      <c r="B56" t="str">
        <v>is_custom_by_organization</v>
      </c>
      <c r="C56" t="b">
        <v>0</v>
      </c>
      <c r="H56" t="str">
        <v/>
      </c>
      <c r="I56" t="str">
        <v/>
      </c>
      <c r="J56" t="str">
        <v/>
      </c>
      <c r="K56" t="str">
        <v/>
      </c>
      <c r="L56" t="str">
        <v/>
      </c>
      <c r="M56" t="str">
        <v/>
      </c>
      <c r="N56" t="str">
        <v/>
      </c>
      <c r="O56" t="str">
        <v/>
      </c>
      <c r="P56" t="str">
        <v/>
      </c>
      <c r="Q56" t="str">
        <v/>
      </c>
      <c r="R56" t="str">
        <v/>
      </c>
      <c r="S56" t="str">
        <v/>
      </c>
      <c r="T56" t="str">
        <v/>
      </c>
      <c r="U56" t="str">
        <v/>
      </c>
      <c r="V56" t="str">
        <v/>
      </c>
      <c r="W56" t="str">
        <v/>
      </c>
      <c r="X56" t="str">
        <v/>
      </c>
      <c r="Y56" t="str">
        <v/>
      </c>
      <c r="Z56" t="str">
        <v/>
      </c>
      <c r="AA56" t="str">
        <v/>
      </c>
      <c r="AB56" t="str">
        <v/>
      </c>
      <c r="AC56" t="str">
        <v/>
      </c>
      <c r="AD56" t="str">
        <v/>
      </c>
      <c r="AE56" t="str">
        <v/>
      </c>
      <c r="AF56" t="str">
        <v/>
      </c>
      <c r="AG56" t="str">
        <v/>
      </c>
      <c r="AH56" t="str">
        <v/>
      </c>
      <c r="AI56" t="str">
        <v/>
      </c>
      <c r="AJ56" t="str">
        <v/>
      </c>
      <c r="AK56" t="str">
        <v/>
      </c>
      <c r="AL56" t="str">
        <v/>
      </c>
    </row>
    <row r="57" spans="2:38" x14ac:dyDescent="0.3">
      <c r="B57" t="str">
        <v>current_snapshot</v>
      </c>
      <c r="C57" t="str">
        <v>{"orm_class": "AssetSnapshot", "id": null, "asset": 5337, "effective_from": "2025-08-04 00:00:00+00:00", "effective_to": null, "name": "MOLSON COORS BEVERAGE CO - B", "ticker": "TAP", "exchange_code": "US", "asset_ticker_group_id": "BBG001S5VQ21", "venue_specific_properties": null}</v>
      </c>
      <c r="H57" t="str">
        <v/>
      </c>
      <c r="I57" t="str">
        <v/>
      </c>
      <c r="J57" t="str">
        <v/>
      </c>
      <c r="K57" t="str">
        <v/>
      </c>
      <c r="L57" t="str">
        <v/>
      </c>
      <c r="M57" t="str">
        <v/>
      </c>
      <c r="N57" t="str">
        <v/>
      </c>
      <c r="O57" t="str">
        <v/>
      </c>
      <c r="P57" t="str">
        <v/>
      </c>
      <c r="Q57" t="str">
        <v/>
      </c>
      <c r="R57" t="str">
        <v/>
      </c>
      <c r="S57" t="str">
        <v/>
      </c>
      <c r="T57" t="str">
        <v/>
      </c>
      <c r="U57" t="str">
        <v/>
      </c>
      <c r="V57" t="str">
        <v/>
      </c>
      <c r="W57" t="str">
        <v/>
      </c>
      <c r="X57" t="str">
        <v/>
      </c>
      <c r="Y57" t="str">
        <v/>
      </c>
      <c r="Z57" t="str">
        <v/>
      </c>
      <c r="AA57" t="str">
        <v/>
      </c>
      <c r="AB57" t="str">
        <v/>
      </c>
      <c r="AC57" t="str">
        <v/>
      </c>
      <c r="AD57" t="str">
        <v/>
      </c>
      <c r="AE57" t="str">
        <v/>
      </c>
      <c r="AF57" t="str">
        <v/>
      </c>
      <c r="AG57" t="str">
        <v/>
      </c>
      <c r="AH57" t="str">
        <v/>
      </c>
      <c r="AI57" t="str">
        <v/>
      </c>
      <c r="AJ57" t="str">
        <v/>
      </c>
      <c r="AK57" t="str">
        <v/>
      </c>
      <c r="AL57" t="str">
        <v/>
      </c>
    </row>
    <row r="58" spans="2:38" x14ac:dyDescent="0.3">
      <c r="B58" t="str">
        <v>current_pricing_detail</v>
      </c>
      <c r="C58" t="e">
        <v>#N/A</v>
      </c>
      <c r="H58" t="str">
        <v/>
      </c>
      <c r="I58" t="str">
        <v/>
      </c>
      <c r="J58" t="str">
        <v/>
      </c>
      <c r="K58" t="str">
        <v/>
      </c>
      <c r="L58" t="str">
        <v/>
      </c>
      <c r="M58" t="str">
        <v/>
      </c>
      <c r="N58" t="str">
        <v/>
      </c>
      <c r="O58" t="str">
        <v/>
      </c>
      <c r="P58" t="str">
        <v/>
      </c>
      <c r="Q58" t="str">
        <v/>
      </c>
      <c r="R58" t="str">
        <v/>
      </c>
      <c r="S58" t="str">
        <v/>
      </c>
      <c r="T58" t="str">
        <v/>
      </c>
      <c r="U58" t="str">
        <v/>
      </c>
      <c r="V58" t="str">
        <v/>
      </c>
      <c r="W58" t="str">
        <v/>
      </c>
      <c r="X58" t="str">
        <v/>
      </c>
      <c r="Y58" t="str">
        <v/>
      </c>
      <c r="Z58" t="str">
        <v/>
      </c>
      <c r="AA58" t="str">
        <v/>
      </c>
      <c r="AB58" t="str">
        <v/>
      </c>
      <c r="AC58" t="str">
        <v/>
      </c>
      <c r="AD58" t="str">
        <v/>
      </c>
      <c r="AE58" t="str">
        <v/>
      </c>
      <c r="AF58" t="str">
        <v/>
      </c>
      <c r="AG58" t="str">
        <v/>
      </c>
      <c r="AH58" t="str">
        <v/>
      </c>
      <c r="AI58" t="str">
        <v/>
      </c>
      <c r="AJ58" t="str">
        <v/>
      </c>
      <c r="AK58" t="str">
        <v/>
      </c>
      <c r="AL58" t="str">
        <v/>
      </c>
    </row>
    <row r="59" spans="2:38" x14ac:dyDescent="0.3">
      <c r="B59" t="e">
        <v>#N/A</v>
      </c>
      <c r="C59" t="e">
        <v>#N/A</v>
      </c>
      <c r="H59" t="str">
        <v/>
      </c>
      <c r="I59" t="str">
        <v/>
      </c>
      <c r="J59" t="str">
        <v/>
      </c>
      <c r="K59" t="str">
        <v/>
      </c>
      <c r="L59" t="str">
        <v/>
      </c>
      <c r="M59" t="str">
        <v/>
      </c>
      <c r="N59" t="str">
        <v/>
      </c>
      <c r="O59" t="str">
        <v/>
      </c>
      <c r="P59" t="str">
        <v/>
      </c>
      <c r="Q59" t="str">
        <v/>
      </c>
      <c r="R59" t="str">
        <v/>
      </c>
      <c r="S59" t="str">
        <v/>
      </c>
      <c r="T59" t="str">
        <v/>
      </c>
      <c r="U59" t="str">
        <v/>
      </c>
      <c r="V59" t="str">
        <v/>
      </c>
      <c r="W59" t="str">
        <v/>
      </c>
      <c r="X59" t="str">
        <v/>
      </c>
      <c r="Y59" t="str">
        <v/>
      </c>
      <c r="Z59" t="str">
        <v/>
      </c>
      <c r="AA59" t="str">
        <v/>
      </c>
      <c r="AB59" t="str">
        <v/>
      </c>
      <c r="AC59" t="str">
        <v/>
      </c>
      <c r="AD59" t="str">
        <v/>
      </c>
      <c r="AE59" t="str">
        <v/>
      </c>
      <c r="AF59" t="str">
        <v/>
      </c>
      <c r="AG59" t="str">
        <v/>
      </c>
      <c r="AH59" t="str">
        <v/>
      </c>
      <c r="AI59" t="str">
        <v/>
      </c>
      <c r="AJ59" t="str">
        <v/>
      </c>
      <c r="AK59" t="str">
        <v/>
      </c>
      <c r="AL59" t="str">
        <v/>
      </c>
    </row>
    <row r="60" spans="2:38" x14ac:dyDescent="0.3">
      <c r="B60" t="e">
        <v>#N/A</v>
      </c>
      <c r="C60" t="e">
        <v>#N/A</v>
      </c>
      <c r="H60" t="str">
        <v/>
      </c>
      <c r="I60" t="str">
        <v/>
      </c>
      <c r="J60" t="str">
        <v/>
      </c>
      <c r="K60" t="str">
        <v/>
      </c>
      <c r="L60" t="str">
        <v/>
      </c>
      <c r="M60" t="str">
        <v/>
      </c>
      <c r="N60" t="str">
        <v/>
      </c>
      <c r="O60" t="str">
        <v/>
      </c>
      <c r="P60" t="str">
        <v/>
      </c>
      <c r="Q60" t="str">
        <v/>
      </c>
      <c r="R60" t="str">
        <v/>
      </c>
      <c r="S60" t="str">
        <v/>
      </c>
      <c r="T60" t="str">
        <v/>
      </c>
      <c r="U60" t="str">
        <v/>
      </c>
      <c r="V60" t="str">
        <v/>
      </c>
      <c r="W60" t="str">
        <v/>
      </c>
      <c r="X60" t="str">
        <v/>
      </c>
      <c r="Y60" t="str">
        <v/>
      </c>
      <c r="Z60" t="str">
        <v/>
      </c>
      <c r="AA60" t="str">
        <v/>
      </c>
      <c r="AB60" t="str">
        <v/>
      </c>
      <c r="AC60" t="str">
        <v/>
      </c>
      <c r="AD60" t="str">
        <v/>
      </c>
      <c r="AE60" t="str">
        <v/>
      </c>
      <c r="AF60" t="str">
        <v/>
      </c>
      <c r="AG60" t="str">
        <v/>
      </c>
      <c r="AH60" t="str">
        <v/>
      </c>
      <c r="AI60" t="str">
        <v/>
      </c>
      <c r="AJ60" t="str">
        <v/>
      </c>
      <c r="AK60" t="str">
        <v/>
      </c>
      <c r="AL60" t="str">
        <v/>
      </c>
    </row>
    <row r="61" spans="2:38" x14ac:dyDescent="0.3">
      <c r="H61" t="str">
        <v/>
      </c>
      <c r="I61" t="str">
        <v/>
      </c>
      <c r="J61" t="str">
        <v/>
      </c>
      <c r="K61" t="str">
        <v/>
      </c>
      <c r="L61" t="str">
        <v/>
      </c>
      <c r="M61" t="str">
        <v/>
      </c>
      <c r="N61" t="str">
        <v/>
      </c>
      <c r="O61" t="str">
        <v/>
      </c>
      <c r="P61" t="str">
        <v/>
      </c>
      <c r="Q61" t="str">
        <v/>
      </c>
      <c r="R61" t="str">
        <v/>
      </c>
      <c r="S61" t="str">
        <v/>
      </c>
      <c r="T61" t="str">
        <v/>
      </c>
      <c r="U61" t="str">
        <v/>
      </c>
      <c r="V61" t="str">
        <v/>
      </c>
      <c r="W61" t="str">
        <v/>
      </c>
      <c r="X61" t="str">
        <v/>
      </c>
      <c r="Y61" t="str">
        <v/>
      </c>
      <c r="Z61" t="str">
        <v/>
      </c>
      <c r="AA61" t="str">
        <v/>
      </c>
      <c r="AB61" t="str">
        <v/>
      </c>
      <c r="AC61" t="str">
        <v/>
      </c>
      <c r="AD61" t="str">
        <v/>
      </c>
      <c r="AE61" t="str">
        <v/>
      </c>
      <c r="AF61" t="str">
        <v/>
      </c>
      <c r="AG61" t="str">
        <v/>
      </c>
      <c r="AH61" t="str">
        <v/>
      </c>
      <c r="AI61" t="str">
        <v/>
      </c>
      <c r="AJ61" t="str">
        <v/>
      </c>
      <c r="AK61" t="str">
        <v/>
      </c>
      <c r="AL61" t="str">
        <v/>
      </c>
    </row>
    <row r="62" spans="2:38" x14ac:dyDescent="0.3">
      <c r="H62" t="str">
        <v/>
      </c>
      <c r="I62" t="str">
        <v/>
      </c>
      <c r="J62" t="str">
        <v/>
      </c>
      <c r="K62" t="str">
        <v/>
      </c>
      <c r="L62" t="str">
        <v/>
      </c>
      <c r="M62" t="str">
        <v/>
      </c>
      <c r="N62" t="str">
        <v/>
      </c>
      <c r="O62" t="str">
        <v/>
      </c>
      <c r="P62" t="str">
        <v/>
      </c>
      <c r="Q62" t="str">
        <v/>
      </c>
      <c r="R62" t="str">
        <v/>
      </c>
      <c r="S62" t="str">
        <v/>
      </c>
      <c r="T62" t="str">
        <v/>
      </c>
      <c r="U62" t="str">
        <v/>
      </c>
      <c r="V62" t="str">
        <v/>
      </c>
      <c r="W62" t="str">
        <v/>
      </c>
      <c r="X62" t="str">
        <v/>
      </c>
      <c r="Y62" t="str">
        <v/>
      </c>
      <c r="Z62" t="str">
        <v/>
      </c>
      <c r="AA62" t="str">
        <v/>
      </c>
      <c r="AB62" t="str">
        <v/>
      </c>
      <c r="AC62" t="str">
        <v/>
      </c>
      <c r="AD62" t="str">
        <v/>
      </c>
      <c r="AE62" t="str">
        <v/>
      </c>
      <c r="AF62" t="str">
        <v/>
      </c>
      <c r="AG62" t="str">
        <v/>
      </c>
      <c r="AH62" t="str">
        <v/>
      </c>
      <c r="AI62" t="str">
        <v/>
      </c>
      <c r="AJ62" t="str">
        <v/>
      </c>
      <c r="AK62" t="str">
        <v/>
      </c>
      <c r="AL62" t="str">
        <v/>
      </c>
    </row>
    <row r="63" spans="2:38" x14ac:dyDescent="0.3">
      <c r="H63" t="str">
        <v/>
      </c>
      <c r="I63" t="str">
        <v/>
      </c>
      <c r="J63" t="str">
        <v/>
      </c>
      <c r="K63" t="str">
        <v/>
      </c>
      <c r="L63" t="str">
        <v/>
      </c>
      <c r="M63" t="str">
        <v/>
      </c>
      <c r="N63" t="str">
        <v/>
      </c>
      <c r="O63" t="str">
        <v/>
      </c>
      <c r="P63" t="str">
        <v/>
      </c>
      <c r="Q63" t="str">
        <v/>
      </c>
      <c r="R63" t="str">
        <v/>
      </c>
      <c r="S63" t="str">
        <v/>
      </c>
      <c r="T63" t="str">
        <v/>
      </c>
      <c r="U63" t="str">
        <v/>
      </c>
      <c r="V63" t="str">
        <v/>
      </c>
      <c r="W63" t="str">
        <v/>
      </c>
      <c r="X63" t="str">
        <v/>
      </c>
      <c r="Y63" t="str">
        <v/>
      </c>
      <c r="Z63" t="str">
        <v/>
      </c>
      <c r="AA63" t="str">
        <v/>
      </c>
      <c r="AB63" t="str">
        <v/>
      </c>
      <c r="AC63" t="str">
        <v/>
      </c>
      <c r="AD63" t="str">
        <v/>
      </c>
      <c r="AE63" t="str">
        <v/>
      </c>
      <c r="AF63" t="str">
        <v/>
      </c>
      <c r="AG63" t="str">
        <v/>
      </c>
      <c r="AH63" t="str">
        <v/>
      </c>
      <c r="AI63" t="str">
        <v/>
      </c>
      <c r="AJ63" t="str">
        <v/>
      </c>
      <c r="AK63" t="str">
        <v/>
      </c>
      <c r="AL63" t="str">
        <v/>
      </c>
    </row>
    <row r="64" spans="2:38" x14ac:dyDescent="0.3">
      <c r="H64" t="str">
        <v/>
      </c>
      <c r="I64" t="str">
        <v/>
      </c>
      <c r="J64" t="str">
        <v/>
      </c>
      <c r="K64" t="str">
        <v/>
      </c>
      <c r="L64" t="str">
        <v/>
      </c>
      <c r="M64" t="str">
        <v/>
      </c>
      <c r="N64" t="str">
        <v/>
      </c>
      <c r="O64" t="str">
        <v/>
      </c>
      <c r="P64" t="str">
        <v/>
      </c>
      <c r="Q64" t="str">
        <v/>
      </c>
      <c r="R64" t="str">
        <v/>
      </c>
      <c r="S64" t="str">
        <v/>
      </c>
      <c r="T64" t="str">
        <v/>
      </c>
      <c r="U64" t="str">
        <v/>
      </c>
      <c r="V64" t="str">
        <v/>
      </c>
      <c r="W64" t="str">
        <v/>
      </c>
      <c r="X64" t="str">
        <v/>
      </c>
      <c r="Y64" t="str">
        <v/>
      </c>
      <c r="Z64" t="str">
        <v/>
      </c>
      <c r="AA64" t="str">
        <v/>
      </c>
      <c r="AB64" t="str">
        <v/>
      </c>
      <c r="AC64" t="str">
        <v/>
      </c>
      <c r="AD64" t="str">
        <v/>
      </c>
      <c r="AE64" t="str">
        <v/>
      </c>
      <c r="AF64" t="str">
        <v/>
      </c>
      <c r="AG64" t="str">
        <v/>
      </c>
      <c r="AH64" t="str">
        <v/>
      </c>
      <c r="AI64" t="str">
        <v/>
      </c>
      <c r="AJ64" t="str">
        <v/>
      </c>
      <c r="AK64" t="str">
        <v/>
      </c>
      <c r="AL64" t="str">
        <v/>
      </c>
    </row>
    <row r="65" spans="8:38" x14ac:dyDescent="0.3">
      <c r="H65" t="str">
        <v/>
      </c>
      <c r="I65" t="str">
        <v/>
      </c>
      <c r="J65" t="str">
        <v/>
      </c>
      <c r="K65" t="str">
        <v/>
      </c>
      <c r="L65" t="str">
        <v/>
      </c>
      <c r="M65" t="str">
        <v/>
      </c>
      <c r="N65" t="str">
        <v/>
      </c>
      <c r="O65" t="str">
        <v/>
      </c>
      <c r="P65" t="str">
        <v/>
      </c>
      <c r="Q65" t="str">
        <v/>
      </c>
      <c r="R65" t="str">
        <v/>
      </c>
      <c r="S65" t="str">
        <v/>
      </c>
      <c r="T65" t="str">
        <v/>
      </c>
      <c r="U65" t="str">
        <v/>
      </c>
      <c r="V65" t="str">
        <v/>
      </c>
      <c r="W65" t="str">
        <v/>
      </c>
      <c r="X65" t="str">
        <v/>
      </c>
      <c r="Y65" t="str">
        <v/>
      </c>
      <c r="Z65" t="str">
        <v/>
      </c>
      <c r="AA65" t="str">
        <v/>
      </c>
      <c r="AB65" t="str">
        <v/>
      </c>
      <c r="AC65" t="str">
        <v/>
      </c>
      <c r="AD65" t="str">
        <v/>
      </c>
      <c r="AE65" t="str">
        <v/>
      </c>
      <c r="AF65" t="str">
        <v/>
      </c>
      <c r="AG65" t="str">
        <v/>
      </c>
      <c r="AH65" t="str">
        <v/>
      </c>
      <c r="AI65" t="str">
        <v/>
      </c>
      <c r="AJ65" t="str">
        <v/>
      </c>
      <c r="AK65" t="str">
        <v/>
      </c>
      <c r="AL65" t="str">
        <v/>
      </c>
    </row>
    <row r="66" spans="8:38" x14ac:dyDescent="0.3">
      <c r="H66" t="str">
        <v/>
      </c>
      <c r="I66" t="str">
        <v/>
      </c>
      <c r="J66" t="str">
        <v/>
      </c>
      <c r="K66" t="str">
        <v/>
      </c>
      <c r="L66" t="str">
        <v/>
      </c>
      <c r="M66" t="str">
        <v/>
      </c>
      <c r="N66" t="str">
        <v/>
      </c>
      <c r="O66" t="str">
        <v/>
      </c>
      <c r="P66" t="str">
        <v/>
      </c>
      <c r="Q66" t="str">
        <v/>
      </c>
      <c r="R66" t="str">
        <v/>
      </c>
      <c r="S66" t="str">
        <v/>
      </c>
      <c r="T66" t="str">
        <v/>
      </c>
      <c r="U66" t="str">
        <v/>
      </c>
      <c r="V66" t="str">
        <v/>
      </c>
      <c r="W66" t="str">
        <v/>
      </c>
      <c r="X66" t="str">
        <v/>
      </c>
      <c r="Y66" t="str">
        <v/>
      </c>
      <c r="Z66" t="str">
        <v/>
      </c>
      <c r="AA66" t="str">
        <v/>
      </c>
      <c r="AB66" t="str">
        <v/>
      </c>
      <c r="AC66" t="str">
        <v/>
      </c>
      <c r="AD66" t="str">
        <v/>
      </c>
      <c r="AE66" t="str">
        <v/>
      </c>
      <c r="AF66" t="str">
        <v/>
      </c>
      <c r="AG66" t="str">
        <v/>
      </c>
      <c r="AH66" t="str">
        <v/>
      </c>
      <c r="AI66" t="str">
        <v/>
      </c>
      <c r="AJ66" t="str">
        <v/>
      </c>
      <c r="AK66" t="str">
        <v/>
      </c>
      <c r="AL66" t="str">
        <v/>
      </c>
    </row>
    <row r="67" spans="8:38" x14ac:dyDescent="0.3">
      <c r="H67" t="str">
        <v/>
      </c>
      <c r="I67" t="str">
        <v/>
      </c>
      <c r="J67" t="str">
        <v/>
      </c>
      <c r="K67" t="str">
        <v/>
      </c>
      <c r="L67" t="str">
        <v/>
      </c>
      <c r="M67" t="str">
        <v/>
      </c>
      <c r="N67" t="str">
        <v/>
      </c>
      <c r="O67" t="str">
        <v/>
      </c>
      <c r="P67" t="str">
        <v/>
      </c>
      <c r="Q67" t="str">
        <v/>
      </c>
      <c r="R67" t="str">
        <v/>
      </c>
      <c r="S67" t="str">
        <v/>
      </c>
      <c r="T67" t="str">
        <v/>
      </c>
      <c r="U67" t="str">
        <v/>
      </c>
      <c r="V67" t="str">
        <v/>
      </c>
      <c r="W67" t="str">
        <v/>
      </c>
      <c r="X67" t="str">
        <v/>
      </c>
      <c r="Y67" t="str">
        <v/>
      </c>
      <c r="Z67" t="str">
        <v/>
      </c>
      <c r="AA67" t="str">
        <v/>
      </c>
      <c r="AB67" t="str">
        <v/>
      </c>
      <c r="AC67" t="str">
        <v/>
      </c>
      <c r="AD67" t="str">
        <v/>
      </c>
      <c r="AE67" t="str">
        <v/>
      </c>
      <c r="AF67" t="str">
        <v/>
      </c>
      <c r="AG67" t="str">
        <v/>
      </c>
      <c r="AH67" t="str">
        <v/>
      </c>
      <c r="AI67" t="str">
        <v/>
      </c>
      <c r="AJ67" t="str">
        <v/>
      </c>
      <c r="AK67" t="str">
        <v/>
      </c>
      <c r="AL67" t="str">
        <v/>
      </c>
    </row>
    <row r="68" spans="8:38" x14ac:dyDescent="0.3">
      <c r="H68" t="str">
        <v/>
      </c>
      <c r="I68" t="str">
        <v/>
      </c>
      <c r="J68" t="str">
        <v/>
      </c>
      <c r="K68" t="str">
        <v/>
      </c>
      <c r="L68" t="str">
        <v/>
      </c>
      <c r="M68" t="str">
        <v/>
      </c>
      <c r="N68" t="str">
        <v/>
      </c>
      <c r="O68" t="str">
        <v/>
      </c>
      <c r="P68" t="str">
        <v/>
      </c>
      <c r="Q68" t="str">
        <v/>
      </c>
      <c r="R68" t="str">
        <v/>
      </c>
      <c r="S68" t="str">
        <v/>
      </c>
      <c r="T68" t="str">
        <v/>
      </c>
      <c r="U68" t="str">
        <v/>
      </c>
      <c r="V68" t="str">
        <v/>
      </c>
      <c r="W68" t="str">
        <v/>
      </c>
      <c r="X68" t="str">
        <v/>
      </c>
      <c r="Y68" t="str">
        <v/>
      </c>
      <c r="Z68" t="str">
        <v/>
      </c>
      <c r="AA68" t="str">
        <v/>
      </c>
      <c r="AB68" t="str">
        <v/>
      </c>
      <c r="AC68" t="str">
        <v/>
      </c>
      <c r="AD68" t="str">
        <v/>
      </c>
      <c r="AE68" t="str">
        <v/>
      </c>
      <c r="AF68" t="str">
        <v/>
      </c>
      <c r="AG68" t="str">
        <v/>
      </c>
      <c r="AH68" t="str">
        <v/>
      </c>
      <c r="AI68" t="str">
        <v/>
      </c>
      <c r="AJ68" t="str">
        <v/>
      </c>
      <c r="AK68" t="str">
        <v/>
      </c>
      <c r="AL68" t="str">
        <v/>
      </c>
    </row>
    <row r="69" spans="8:38" x14ac:dyDescent="0.3">
      <c r="H69" t="str">
        <v/>
      </c>
      <c r="I69" t="str">
        <v/>
      </c>
      <c r="J69" t="str">
        <v/>
      </c>
      <c r="K69" t="str">
        <v/>
      </c>
      <c r="L69" t="str">
        <v/>
      </c>
      <c r="M69" t="str">
        <v/>
      </c>
      <c r="N69" t="str">
        <v/>
      </c>
      <c r="O69" t="str">
        <v/>
      </c>
      <c r="P69" t="str">
        <v/>
      </c>
      <c r="Q69" t="str">
        <v/>
      </c>
      <c r="R69" t="str">
        <v/>
      </c>
      <c r="S69" t="str">
        <v/>
      </c>
      <c r="T69" t="str">
        <v/>
      </c>
      <c r="U69" t="str">
        <v/>
      </c>
      <c r="V69" t="str">
        <v/>
      </c>
      <c r="W69" t="str">
        <v/>
      </c>
      <c r="X69" t="str">
        <v/>
      </c>
      <c r="Y69" t="str">
        <v/>
      </c>
      <c r="Z69" t="str">
        <v/>
      </c>
      <c r="AA69" t="str">
        <v/>
      </c>
      <c r="AB69" t="str">
        <v/>
      </c>
      <c r="AC69" t="str">
        <v/>
      </c>
      <c r="AD69" t="str">
        <v/>
      </c>
      <c r="AE69" t="str">
        <v/>
      </c>
      <c r="AF69" t="str">
        <v/>
      </c>
      <c r="AG69" t="str">
        <v/>
      </c>
      <c r="AH69" t="str">
        <v/>
      </c>
      <c r="AI69" t="str">
        <v/>
      </c>
      <c r="AJ69" t="str">
        <v/>
      </c>
      <c r="AK69" t="str">
        <v/>
      </c>
      <c r="AL69" t="str">
        <v/>
      </c>
    </row>
    <row r="70" spans="8:38" x14ac:dyDescent="0.3">
      <c r="H70" t="str">
        <v/>
      </c>
      <c r="I70" t="str">
        <v/>
      </c>
      <c r="J70" t="str">
        <v/>
      </c>
      <c r="K70" t="str">
        <v/>
      </c>
      <c r="L70" t="str">
        <v/>
      </c>
      <c r="M70" t="str">
        <v/>
      </c>
      <c r="N70" t="str">
        <v/>
      </c>
      <c r="O70" t="str">
        <v/>
      </c>
      <c r="P70" t="str">
        <v/>
      </c>
      <c r="Q70" t="str">
        <v/>
      </c>
      <c r="R70" t="str">
        <v/>
      </c>
      <c r="S70" t="str">
        <v/>
      </c>
      <c r="T70" t="str">
        <v/>
      </c>
      <c r="U70" t="str">
        <v/>
      </c>
      <c r="V70" t="str">
        <v/>
      </c>
      <c r="W70" t="str">
        <v/>
      </c>
      <c r="X70" t="str">
        <v/>
      </c>
      <c r="Y70" t="str">
        <v/>
      </c>
      <c r="Z70" t="str">
        <v/>
      </c>
      <c r="AA70" t="str">
        <v/>
      </c>
      <c r="AB70" t="str">
        <v/>
      </c>
      <c r="AC70" t="str">
        <v/>
      </c>
      <c r="AD70" t="str">
        <v/>
      </c>
      <c r="AE70" t="str">
        <v/>
      </c>
      <c r="AF70" t="str">
        <v/>
      </c>
      <c r="AG70" t="str">
        <v/>
      </c>
      <c r="AH70" t="str">
        <v/>
      </c>
      <c r="AI70" t="str">
        <v/>
      </c>
      <c r="AJ70" t="str">
        <v/>
      </c>
      <c r="AK70" t="str">
        <v/>
      </c>
      <c r="AL70" t="str">
        <v/>
      </c>
    </row>
    <row r="71" spans="8:38" x14ac:dyDescent="0.3">
      <c r="H71" t="str">
        <v/>
      </c>
      <c r="I71" t="str">
        <v/>
      </c>
      <c r="J71" t="str">
        <v/>
      </c>
      <c r="K71" t="str">
        <v/>
      </c>
      <c r="L71" t="str">
        <v/>
      </c>
      <c r="M71" t="str">
        <v/>
      </c>
      <c r="N71" t="str">
        <v/>
      </c>
      <c r="O71" t="str">
        <v/>
      </c>
      <c r="P71" t="str">
        <v/>
      </c>
      <c r="Q71" t="str">
        <v/>
      </c>
      <c r="R71" t="str">
        <v/>
      </c>
      <c r="S71" t="str">
        <v/>
      </c>
      <c r="T71" t="str">
        <v/>
      </c>
      <c r="U71" t="str">
        <v/>
      </c>
      <c r="V71" t="str">
        <v/>
      </c>
      <c r="W71" t="str">
        <v/>
      </c>
      <c r="X71" t="str">
        <v/>
      </c>
      <c r="Y71" t="str">
        <v/>
      </c>
      <c r="Z71" t="str">
        <v/>
      </c>
      <c r="AA71" t="str">
        <v/>
      </c>
      <c r="AB71" t="str">
        <v/>
      </c>
      <c r="AC71" t="str">
        <v/>
      </c>
      <c r="AD71" t="str">
        <v/>
      </c>
      <c r="AE71" t="str">
        <v/>
      </c>
      <c r="AF71" t="str">
        <v/>
      </c>
      <c r="AG71" t="str">
        <v/>
      </c>
      <c r="AH71" t="str">
        <v/>
      </c>
      <c r="AI71" t="str">
        <v/>
      </c>
      <c r="AJ71" t="str">
        <v/>
      </c>
      <c r="AK71" t="str">
        <v/>
      </c>
      <c r="AL71" t="str">
        <v/>
      </c>
    </row>
    <row r="72" spans="8:38" x14ac:dyDescent="0.3">
      <c r="H72" t="str">
        <v/>
      </c>
      <c r="I72" t="str">
        <v/>
      </c>
      <c r="J72" t="str">
        <v/>
      </c>
      <c r="K72" t="str">
        <v/>
      </c>
      <c r="L72" t="str">
        <v/>
      </c>
      <c r="M72" t="str">
        <v/>
      </c>
      <c r="N72" t="str">
        <v/>
      </c>
      <c r="O72" t="str">
        <v/>
      </c>
      <c r="P72" t="str">
        <v/>
      </c>
      <c r="Q72" t="str">
        <v/>
      </c>
      <c r="R72" t="str">
        <v/>
      </c>
      <c r="S72" t="str">
        <v/>
      </c>
      <c r="T72" t="str">
        <v/>
      </c>
      <c r="U72" t="str">
        <v/>
      </c>
      <c r="V72" t="str">
        <v/>
      </c>
      <c r="W72" t="str">
        <v/>
      </c>
      <c r="X72" t="str">
        <v/>
      </c>
      <c r="Y72" t="str">
        <v/>
      </c>
      <c r="Z72" t="str">
        <v/>
      </c>
      <c r="AA72" t="str">
        <v/>
      </c>
      <c r="AB72" t="str">
        <v/>
      </c>
      <c r="AC72" t="str">
        <v/>
      </c>
      <c r="AD72" t="str">
        <v/>
      </c>
      <c r="AE72" t="str">
        <v/>
      </c>
      <c r="AF72" t="str">
        <v/>
      </c>
      <c r="AG72" t="str">
        <v/>
      </c>
      <c r="AH72" t="str">
        <v/>
      </c>
      <c r="AI72" t="str">
        <v/>
      </c>
      <c r="AJ72" t="str">
        <v/>
      </c>
      <c r="AK72" t="str">
        <v/>
      </c>
      <c r="AL72" t="str">
        <v/>
      </c>
    </row>
    <row r="73" spans="8:38" x14ac:dyDescent="0.3">
      <c r="H73" t="str">
        <v/>
      </c>
      <c r="I73" t="str">
        <v/>
      </c>
      <c r="J73" t="str">
        <v/>
      </c>
      <c r="K73" t="str">
        <v/>
      </c>
      <c r="L73" t="str">
        <v/>
      </c>
      <c r="M73" t="str">
        <v/>
      </c>
      <c r="N73" t="str">
        <v/>
      </c>
      <c r="O73" t="str">
        <v/>
      </c>
      <c r="P73" t="str">
        <v/>
      </c>
      <c r="Q73" t="str">
        <v/>
      </c>
      <c r="R73" t="str">
        <v/>
      </c>
      <c r="S73" t="str">
        <v/>
      </c>
      <c r="T73" t="str">
        <v/>
      </c>
      <c r="U73" t="str">
        <v/>
      </c>
      <c r="V73" t="str">
        <v/>
      </c>
      <c r="W73" t="str">
        <v/>
      </c>
      <c r="X73" t="str">
        <v/>
      </c>
      <c r="Y73" t="str">
        <v/>
      </c>
      <c r="Z73" t="str">
        <v/>
      </c>
      <c r="AA73" t="str">
        <v/>
      </c>
      <c r="AB73" t="str">
        <v/>
      </c>
      <c r="AC73" t="str">
        <v/>
      </c>
      <c r="AD73" t="str">
        <v/>
      </c>
      <c r="AE73" t="str">
        <v/>
      </c>
      <c r="AF73" t="str">
        <v/>
      </c>
      <c r="AG73" t="str">
        <v/>
      </c>
      <c r="AH73" t="str">
        <v/>
      </c>
      <c r="AI73" t="str">
        <v/>
      </c>
      <c r="AJ73" t="str">
        <v/>
      </c>
      <c r="AK73" t="str">
        <v/>
      </c>
      <c r="AL73" t="str">
        <v/>
      </c>
    </row>
    <row r="74" spans="8:38" x14ac:dyDescent="0.3">
      <c r="H74" t="str">
        <v/>
      </c>
      <c r="I74" t="str">
        <v/>
      </c>
      <c r="J74" t="str">
        <v/>
      </c>
      <c r="K74" t="str">
        <v/>
      </c>
      <c r="L74" t="str">
        <v/>
      </c>
      <c r="M74" t="str">
        <v/>
      </c>
      <c r="N74" t="str">
        <v/>
      </c>
      <c r="O74" t="str">
        <v/>
      </c>
      <c r="P74" t="str">
        <v/>
      </c>
      <c r="Q74" t="str">
        <v/>
      </c>
      <c r="R74" t="str">
        <v/>
      </c>
      <c r="S74" t="str">
        <v/>
      </c>
      <c r="T74" t="str">
        <v/>
      </c>
      <c r="U74" t="str">
        <v/>
      </c>
      <c r="V74" t="str">
        <v/>
      </c>
      <c r="W74" t="str">
        <v/>
      </c>
      <c r="X74" t="str">
        <v/>
      </c>
      <c r="Y74" t="str">
        <v/>
      </c>
      <c r="Z74" t="str">
        <v/>
      </c>
      <c r="AA74" t="str">
        <v/>
      </c>
      <c r="AB74" t="str">
        <v/>
      </c>
      <c r="AC74" t="str">
        <v/>
      </c>
      <c r="AD74" t="str">
        <v/>
      </c>
      <c r="AE74" t="str">
        <v/>
      </c>
      <c r="AF74" t="str">
        <v/>
      </c>
      <c r="AG74" t="str">
        <v/>
      </c>
      <c r="AH74" t="str">
        <v/>
      </c>
      <c r="AI74" t="str">
        <v/>
      </c>
      <c r="AJ74" t="str">
        <v/>
      </c>
      <c r="AK74" t="str">
        <v/>
      </c>
      <c r="AL74" t="str">
        <v/>
      </c>
    </row>
    <row r="75" spans="8:38" x14ac:dyDescent="0.3">
      <c r="H75" t="str">
        <v/>
      </c>
      <c r="I75" t="str">
        <v/>
      </c>
      <c r="J75" t="str">
        <v/>
      </c>
      <c r="K75" t="str">
        <v/>
      </c>
      <c r="L75" t="str">
        <v/>
      </c>
      <c r="M75" t="str">
        <v/>
      </c>
      <c r="N75" t="str">
        <v/>
      </c>
      <c r="O75" t="str">
        <v/>
      </c>
      <c r="P75" t="str">
        <v/>
      </c>
      <c r="Q75" t="str">
        <v/>
      </c>
      <c r="R75" t="str">
        <v/>
      </c>
      <c r="S75" t="str">
        <v/>
      </c>
      <c r="T75" t="str">
        <v/>
      </c>
      <c r="U75" t="str">
        <v/>
      </c>
      <c r="V75" t="str">
        <v/>
      </c>
      <c r="W75" t="str">
        <v/>
      </c>
      <c r="X75" t="str">
        <v/>
      </c>
      <c r="Y75" t="str">
        <v/>
      </c>
      <c r="Z75" t="str">
        <v/>
      </c>
      <c r="AA75" t="str">
        <v/>
      </c>
      <c r="AB75" t="str">
        <v/>
      </c>
      <c r="AC75" t="str">
        <v/>
      </c>
      <c r="AD75" t="str">
        <v/>
      </c>
      <c r="AE75" t="str">
        <v/>
      </c>
      <c r="AF75" t="str">
        <v/>
      </c>
      <c r="AG75" t="str">
        <v/>
      </c>
      <c r="AH75" t="str">
        <v/>
      </c>
      <c r="AI75" t="str">
        <v/>
      </c>
      <c r="AJ75" t="str">
        <v/>
      </c>
      <c r="AK75" t="str">
        <v/>
      </c>
      <c r="AL75" t="str">
        <v/>
      </c>
    </row>
    <row r="76" spans="8:38" x14ac:dyDescent="0.3">
      <c r="H76" t="str">
        <v/>
      </c>
      <c r="I76" t="str">
        <v/>
      </c>
      <c r="J76" t="str">
        <v/>
      </c>
      <c r="K76" t="str">
        <v/>
      </c>
      <c r="L76" t="str">
        <v/>
      </c>
      <c r="M76" t="str">
        <v/>
      </c>
      <c r="N76" t="str">
        <v/>
      </c>
      <c r="O76" t="str">
        <v/>
      </c>
      <c r="P76" t="str">
        <v/>
      </c>
      <c r="Q76" t="str">
        <v/>
      </c>
      <c r="R76" t="str">
        <v/>
      </c>
      <c r="S76" t="str">
        <v/>
      </c>
      <c r="T76" t="str">
        <v/>
      </c>
      <c r="U76" t="str">
        <v/>
      </c>
      <c r="V76" t="str">
        <v/>
      </c>
      <c r="W76" t="str">
        <v/>
      </c>
      <c r="X76" t="str">
        <v/>
      </c>
      <c r="Y76" t="str">
        <v/>
      </c>
      <c r="Z76" t="str">
        <v/>
      </c>
      <c r="AA76" t="str">
        <v/>
      </c>
      <c r="AB76" t="str">
        <v/>
      </c>
      <c r="AC76" t="str">
        <v/>
      </c>
      <c r="AD76" t="str">
        <v/>
      </c>
      <c r="AE76" t="str">
        <v/>
      </c>
      <c r="AF76" t="str">
        <v/>
      </c>
      <c r="AG76" t="str">
        <v/>
      </c>
      <c r="AH76" t="str">
        <v/>
      </c>
      <c r="AI76" t="str">
        <v/>
      </c>
      <c r="AJ76" t="str">
        <v/>
      </c>
      <c r="AK76" t="str">
        <v/>
      </c>
      <c r="AL76" t="str">
        <v/>
      </c>
    </row>
    <row r="77" spans="8:38" x14ac:dyDescent="0.3">
      <c r="H77" t="str">
        <v/>
      </c>
      <c r="I77" t="str">
        <v/>
      </c>
      <c r="J77" t="str">
        <v/>
      </c>
      <c r="K77" t="str">
        <v/>
      </c>
      <c r="L77" t="str">
        <v/>
      </c>
      <c r="M77" t="str">
        <v/>
      </c>
      <c r="N77" t="str">
        <v/>
      </c>
      <c r="O77" t="str">
        <v/>
      </c>
      <c r="P77" t="str">
        <v/>
      </c>
      <c r="Q77" t="str">
        <v/>
      </c>
      <c r="R77" t="str">
        <v/>
      </c>
      <c r="S77" t="str">
        <v/>
      </c>
      <c r="T77" t="str">
        <v/>
      </c>
      <c r="U77" t="str">
        <v/>
      </c>
      <c r="V77" t="str">
        <v/>
      </c>
      <c r="W77" t="str">
        <v/>
      </c>
      <c r="X77" t="str">
        <v/>
      </c>
      <c r="Y77" t="str">
        <v/>
      </c>
      <c r="Z77" t="str">
        <v/>
      </c>
      <c r="AA77" t="str">
        <v/>
      </c>
      <c r="AB77" t="str">
        <v/>
      </c>
      <c r="AC77" t="str">
        <v/>
      </c>
      <c r="AD77" t="str">
        <v/>
      </c>
      <c r="AE77" t="str">
        <v/>
      </c>
      <c r="AF77" t="str">
        <v/>
      </c>
      <c r="AG77" t="str">
        <v/>
      </c>
      <c r="AH77" t="str">
        <v/>
      </c>
      <c r="AI77" t="str">
        <v/>
      </c>
      <c r="AJ77" t="str">
        <v/>
      </c>
      <c r="AK77" t="str">
        <v/>
      </c>
      <c r="AL77" t="str">
        <v/>
      </c>
    </row>
    <row r="78" spans="8:38" x14ac:dyDescent="0.3">
      <c r="H78" t="str">
        <v/>
      </c>
      <c r="I78" t="str">
        <v/>
      </c>
      <c r="J78" t="str">
        <v/>
      </c>
      <c r="K78" t="str">
        <v/>
      </c>
      <c r="L78" t="str">
        <v/>
      </c>
      <c r="M78" t="str">
        <v/>
      </c>
      <c r="N78" t="str">
        <v/>
      </c>
      <c r="O78" t="str">
        <v/>
      </c>
      <c r="P78" t="str">
        <v/>
      </c>
      <c r="Q78" t="str">
        <v/>
      </c>
      <c r="R78" t="str">
        <v/>
      </c>
      <c r="S78" t="str">
        <v/>
      </c>
      <c r="T78" t="str">
        <v/>
      </c>
      <c r="U78" t="str">
        <v/>
      </c>
      <c r="V78" t="str">
        <v/>
      </c>
      <c r="W78" t="str">
        <v/>
      </c>
      <c r="X78" t="str">
        <v/>
      </c>
      <c r="Y78" t="str">
        <v/>
      </c>
      <c r="Z78" t="str">
        <v/>
      </c>
      <c r="AA78" t="str">
        <v/>
      </c>
      <c r="AB78" t="str">
        <v/>
      </c>
      <c r="AC78" t="str">
        <v/>
      </c>
      <c r="AD78" t="str">
        <v/>
      </c>
      <c r="AE78" t="str">
        <v/>
      </c>
      <c r="AF78" t="str">
        <v/>
      </c>
      <c r="AG78" t="str">
        <v/>
      </c>
      <c r="AH78" t="str">
        <v/>
      </c>
      <c r="AI78" t="str">
        <v/>
      </c>
      <c r="AJ78" t="str">
        <v/>
      </c>
      <c r="AK78" t="str">
        <v/>
      </c>
      <c r="AL78" t="str">
        <v/>
      </c>
    </row>
    <row r="79" spans="8:38" x14ac:dyDescent="0.3">
      <c r="H79" t="str">
        <v/>
      </c>
      <c r="I79" t="str">
        <v/>
      </c>
      <c r="J79" t="str">
        <v/>
      </c>
      <c r="K79" t="str">
        <v/>
      </c>
      <c r="L79" t="str">
        <v/>
      </c>
      <c r="M79" t="str">
        <v/>
      </c>
      <c r="N79" t="str">
        <v/>
      </c>
      <c r="O79" t="str">
        <v/>
      </c>
      <c r="P79" t="str">
        <v/>
      </c>
      <c r="Q79" t="str">
        <v/>
      </c>
      <c r="R79" t="str">
        <v/>
      </c>
      <c r="S79" t="str">
        <v/>
      </c>
      <c r="T79" t="str">
        <v/>
      </c>
      <c r="U79" t="str">
        <v/>
      </c>
      <c r="V79" t="str">
        <v/>
      </c>
      <c r="W79" t="str">
        <v/>
      </c>
      <c r="X79" t="str">
        <v/>
      </c>
      <c r="Y79" t="str">
        <v/>
      </c>
      <c r="Z79" t="str">
        <v/>
      </c>
      <c r="AA79" t="str">
        <v/>
      </c>
      <c r="AB79" t="str">
        <v/>
      </c>
      <c r="AC79" t="str">
        <v/>
      </c>
      <c r="AD79" t="str">
        <v/>
      </c>
      <c r="AE79" t="str">
        <v/>
      </c>
      <c r="AF79" t="str">
        <v/>
      </c>
      <c r="AG79" t="str">
        <v/>
      </c>
      <c r="AH79" t="str">
        <v/>
      </c>
      <c r="AI79" t="str">
        <v/>
      </c>
      <c r="AJ79" t="str">
        <v/>
      </c>
      <c r="AK79" t="str">
        <v/>
      </c>
      <c r="AL79" t="str">
        <v/>
      </c>
    </row>
    <row r="80" spans="8:38" x14ac:dyDescent="0.3">
      <c r="H80" t="str">
        <v/>
      </c>
      <c r="I80" t="str">
        <v/>
      </c>
      <c r="J80" t="str">
        <v/>
      </c>
      <c r="K80" t="str">
        <v/>
      </c>
      <c r="L80" t="str">
        <v/>
      </c>
      <c r="M80" t="str">
        <v/>
      </c>
      <c r="N80" t="str">
        <v/>
      </c>
      <c r="O80" t="str">
        <v/>
      </c>
      <c r="P80" t="str">
        <v/>
      </c>
      <c r="Q80" t="str">
        <v/>
      </c>
      <c r="R80" t="str">
        <v/>
      </c>
      <c r="S80" t="str">
        <v/>
      </c>
      <c r="T80" t="str">
        <v/>
      </c>
      <c r="U80" t="str">
        <v/>
      </c>
      <c r="V80" t="str">
        <v/>
      </c>
      <c r="W80" t="str">
        <v/>
      </c>
      <c r="X80" t="str">
        <v/>
      </c>
      <c r="Y80" t="str">
        <v/>
      </c>
      <c r="Z80" t="str">
        <v/>
      </c>
      <c r="AA80" t="str">
        <v/>
      </c>
      <c r="AB80" t="str">
        <v/>
      </c>
      <c r="AC80" t="str">
        <v/>
      </c>
      <c r="AD80" t="str">
        <v/>
      </c>
      <c r="AE80" t="str">
        <v/>
      </c>
      <c r="AF80" t="str">
        <v/>
      </c>
      <c r="AG80" t="str">
        <v/>
      </c>
      <c r="AH80" t="str">
        <v/>
      </c>
      <c r="AI80" t="str">
        <v/>
      </c>
      <c r="AJ80" t="str">
        <v/>
      </c>
      <c r="AK80" t="str">
        <v/>
      </c>
      <c r="AL80" t="str">
        <v/>
      </c>
    </row>
    <row r="81" spans="8:38" x14ac:dyDescent="0.3">
      <c r="H81" t="str">
        <v/>
      </c>
      <c r="I81" t="str">
        <v/>
      </c>
      <c r="J81" t="str">
        <v/>
      </c>
      <c r="K81" t="str">
        <v/>
      </c>
      <c r="L81" t="str">
        <v/>
      </c>
      <c r="M81" t="str">
        <v/>
      </c>
      <c r="N81" t="str">
        <v/>
      </c>
      <c r="O81" t="str">
        <v/>
      </c>
      <c r="P81" t="str">
        <v/>
      </c>
      <c r="Q81" t="str">
        <v/>
      </c>
      <c r="R81" t="str">
        <v/>
      </c>
      <c r="S81" t="str">
        <v/>
      </c>
      <c r="T81" t="str">
        <v/>
      </c>
      <c r="U81" t="str">
        <v/>
      </c>
      <c r="V81" t="str">
        <v/>
      </c>
      <c r="W81" t="str">
        <v/>
      </c>
      <c r="X81" t="str">
        <v/>
      </c>
      <c r="Y81" t="str">
        <v/>
      </c>
      <c r="Z81" t="str">
        <v/>
      </c>
      <c r="AA81" t="str">
        <v/>
      </c>
      <c r="AB81" t="str">
        <v/>
      </c>
      <c r="AC81" t="str">
        <v/>
      </c>
      <c r="AD81" t="str">
        <v/>
      </c>
      <c r="AE81" t="str">
        <v/>
      </c>
      <c r="AF81" t="str">
        <v/>
      </c>
      <c r="AG81" t="str">
        <v/>
      </c>
      <c r="AH81" t="str">
        <v/>
      </c>
      <c r="AI81" t="str">
        <v/>
      </c>
      <c r="AJ81" t="str">
        <v/>
      </c>
      <c r="AK81" t="str">
        <v/>
      </c>
      <c r="AL81" t="str">
        <v/>
      </c>
    </row>
    <row r="82" spans="8:38" x14ac:dyDescent="0.3">
      <c r="H82" t="str">
        <v/>
      </c>
      <c r="I82" t="str">
        <v/>
      </c>
      <c r="J82" t="str">
        <v/>
      </c>
      <c r="K82" t="str">
        <v/>
      </c>
      <c r="L82" t="str">
        <v/>
      </c>
      <c r="M82" t="str">
        <v/>
      </c>
      <c r="N82" t="str">
        <v/>
      </c>
      <c r="O82" t="str">
        <v/>
      </c>
      <c r="P82" t="str">
        <v/>
      </c>
      <c r="Q82" t="str">
        <v/>
      </c>
      <c r="R82" t="str">
        <v/>
      </c>
      <c r="S82" t="str">
        <v/>
      </c>
      <c r="T82" t="str">
        <v/>
      </c>
      <c r="U82" t="str">
        <v/>
      </c>
      <c r="V82" t="str">
        <v/>
      </c>
      <c r="W82" t="str">
        <v/>
      </c>
      <c r="X82" t="str">
        <v/>
      </c>
      <c r="Y82" t="str">
        <v/>
      </c>
      <c r="Z82" t="str">
        <v/>
      </c>
      <c r="AA82" t="str">
        <v/>
      </c>
      <c r="AB82" t="str">
        <v/>
      </c>
      <c r="AC82" t="str">
        <v/>
      </c>
      <c r="AD82" t="str">
        <v/>
      </c>
      <c r="AE82" t="str">
        <v/>
      </c>
      <c r="AF82" t="str">
        <v/>
      </c>
      <c r="AG82" t="str">
        <v/>
      </c>
      <c r="AH82" t="str">
        <v/>
      </c>
      <c r="AI82" t="str">
        <v/>
      </c>
      <c r="AJ82" t="str">
        <v/>
      </c>
      <c r="AK82" t="str">
        <v/>
      </c>
      <c r="AL82" t="str">
        <v/>
      </c>
    </row>
    <row r="83" spans="8:38" x14ac:dyDescent="0.3">
      <c r="H83" t="str">
        <v/>
      </c>
      <c r="I83" t="str">
        <v/>
      </c>
      <c r="J83" t="str">
        <v/>
      </c>
      <c r="K83" t="str">
        <v/>
      </c>
      <c r="L83" t="str">
        <v/>
      </c>
      <c r="M83" t="str">
        <v/>
      </c>
      <c r="N83" t="str">
        <v/>
      </c>
      <c r="O83" t="str">
        <v/>
      </c>
      <c r="P83" t="str">
        <v/>
      </c>
      <c r="Q83" t="str">
        <v/>
      </c>
      <c r="R83" t="str">
        <v/>
      </c>
      <c r="S83" t="str">
        <v/>
      </c>
      <c r="T83" t="str">
        <v/>
      </c>
      <c r="U83" t="str">
        <v/>
      </c>
      <c r="V83" t="str">
        <v/>
      </c>
      <c r="W83" t="str">
        <v/>
      </c>
      <c r="X83" t="str">
        <v/>
      </c>
      <c r="Y83" t="str">
        <v/>
      </c>
      <c r="Z83" t="str">
        <v/>
      </c>
      <c r="AA83" t="str">
        <v/>
      </c>
      <c r="AB83" t="str">
        <v/>
      </c>
      <c r="AC83" t="str">
        <v/>
      </c>
      <c r="AD83" t="str">
        <v/>
      </c>
      <c r="AE83" t="str">
        <v/>
      </c>
      <c r="AF83" t="str">
        <v/>
      </c>
      <c r="AG83" t="str">
        <v/>
      </c>
      <c r="AH83" t="str">
        <v/>
      </c>
      <c r="AI83" t="str">
        <v/>
      </c>
      <c r="AJ83" t="str">
        <v/>
      </c>
      <c r="AK83" t="str">
        <v/>
      </c>
      <c r="AL83" t="str">
        <v/>
      </c>
    </row>
    <row r="84" spans="8:38" x14ac:dyDescent="0.3">
      <c r="H84" t="str">
        <v/>
      </c>
      <c r="I84" t="str">
        <v/>
      </c>
      <c r="J84" t="str">
        <v/>
      </c>
      <c r="K84" t="str">
        <v/>
      </c>
      <c r="L84" t="str">
        <v/>
      </c>
      <c r="M84" t="str">
        <v/>
      </c>
      <c r="N84" t="str">
        <v/>
      </c>
      <c r="O84" t="str">
        <v/>
      </c>
      <c r="P84" t="str">
        <v/>
      </c>
      <c r="Q84" t="str">
        <v/>
      </c>
      <c r="R84" t="str">
        <v/>
      </c>
      <c r="S84" t="str">
        <v/>
      </c>
      <c r="T84" t="str">
        <v/>
      </c>
      <c r="U84" t="str">
        <v/>
      </c>
      <c r="V84" t="str">
        <v/>
      </c>
      <c r="W84" t="str">
        <v/>
      </c>
      <c r="X84" t="str">
        <v/>
      </c>
      <c r="Y84" t="str">
        <v/>
      </c>
      <c r="Z84" t="str">
        <v/>
      </c>
      <c r="AA84" t="str">
        <v/>
      </c>
      <c r="AB84" t="str">
        <v/>
      </c>
      <c r="AC84" t="str">
        <v/>
      </c>
      <c r="AD84" t="str">
        <v/>
      </c>
      <c r="AE84" t="str">
        <v/>
      </c>
      <c r="AF84" t="str">
        <v/>
      </c>
      <c r="AG84" t="str">
        <v/>
      </c>
      <c r="AH84" t="str">
        <v/>
      </c>
      <c r="AI84" t="str">
        <v/>
      </c>
      <c r="AJ84" t="str">
        <v/>
      </c>
      <c r="AK84" t="str">
        <v/>
      </c>
      <c r="AL84" t="str">
        <v/>
      </c>
    </row>
    <row r="85" spans="8:38" x14ac:dyDescent="0.3">
      <c r="H85" t="str">
        <v/>
      </c>
      <c r="I85" t="str">
        <v/>
      </c>
      <c r="J85" t="str">
        <v/>
      </c>
      <c r="K85" t="str">
        <v/>
      </c>
      <c r="L85" t="str">
        <v/>
      </c>
      <c r="M85" t="str">
        <v/>
      </c>
      <c r="N85" t="str">
        <v/>
      </c>
      <c r="O85" t="str">
        <v/>
      </c>
      <c r="P85" t="str">
        <v/>
      </c>
      <c r="Q85" t="str">
        <v/>
      </c>
      <c r="R85" t="str">
        <v/>
      </c>
      <c r="S85" t="str">
        <v/>
      </c>
      <c r="T85" t="str">
        <v/>
      </c>
      <c r="U85" t="str">
        <v/>
      </c>
      <c r="V85" t="str">
        <v/>
      </c>
      <c r="W85" t="str">
        <v/>
      </c>
      <c r="X85" t="str">
        <v/>
      </c>
      <c r="Y85" t="str">
        <v/>
      </c>
      <c r="Z85" t="str">
        <v/>
      </c>
      <c r="AA85" t="str">
        <v/>
      </c>
      <c r="AB85" t="str">
        <v/>
      </c>
      <c r="AC85" t="str">
        <v/>
      </c>
      <c r="AD85" t="str">
        <v/>
      </c>
      <c r="AE85" t="str">
        <v/>
      </c>
      <c r="AF85" t="str">
        <v/>
      </c>
      <c r="AG85" t="str">
        <v/>
      </c>
      <c r="AH85" t="str">
        <v/>
      </c>
      <c r="AI85" t="str">
        <v/>
      </c>
      <c r="AJ85" t="str">
        <v/>
      </c>
      <c r="AK85" t="str">
        <v/>
      </c>
      <c r="AL85" t="str">
        <v/>
      </c>
    </row>
    <row r="86" spans="8:38" x14ac:dyDescent="0.3">
      <c r="H86" t="str">
        <v/>
      </c>
      <c r="I86" t="str">
        <v/>
      </c>
      <c r="J86" t="str">
        <v/>
      </c>
      <c r="K86" t="str">
        <v/>
      </c>
      <c r="L86" t="str">
        <v/>
      </c>
      <c r="M86" t="str">
        <v/>
      </c>
      <c r="N86" t="str">
        <v/>
      </c>
      <c r="O86" t="str">
        <v/>
      </c>
      <c r="P86" t="str">
        <v/>
      </c>
      <c r="Q86" t="str">
        <v/>
      </c>
      <c r="R86" t="str">
        <v/>
      </c>
      <c r="S86" t="str">
        <v/>
      </c>
      <c r="T86" t="str">
        <v/>
      </c>
      <c r="U86" t="str">
        <v/>
      </c>
      <c r="V86" t="str">
        <v/>
      </c>
      <c r="W86" t="str">
        <v/>
      </c>
      <c r="X86" t="str">
        <v/>
      </c>
      <c r="Y86" t="str">
        <v/>
      </c>
      <c r="Z86" t="str">
        <v/>
      </c>
      <c r="AA86" t="str">
        <v/>
      </c>
      <c r="AB86" t="str">
        <v/>
      </c>
      <c r="AC86" t="str">
        <v/>
      </c>
      <c r="AD86" t="str">
        <v/>
      </c>
      <c r="AE86" t="str">
        <v/>
      </c>
      <c r="AF86" t="str">
        <v/>
      </c>
      <c r="AG86" t="str">
        <v/>
      </c>
      <c r="AH86" t="str">
        <v/>
      </c>
      <c r="AI86" t="str">
        <v/>
      </c>
      <c r="AJ86" t="str">
        <v/>
      </c>
      <c r="AK86" t="str">
        <v/>
      </c>
      <c r="AL86" t="str">
        <v/>
      </c>
    </row>
    <row r="87" spans="8:38" x14ac:dyDescent="0.3">
      <c r="H87" t="str">
        <v/>
      </c>
      <c r="I87" t="str">
        <v/>
      </c>
      <c r="J87" t="str">
        <v/>
      </c>
      <c r="K87" t="str">
        <v/>
      </c>
      <c r="L87" t="str">
        <v/>
      </c>
      <c r="M87" t="str">
        <v/>
      </c>
      <c r="N87" t="str">
        <v/>
      </c>
      <c r="O87" t="str">
        <v/>
      </c>
      <c r="P87" t="str">
        <v/>
      </c>
      <c r="Q87" t="str">
        <v/>
      </c>
      <c r="R87" t="str">
        <v/>
      </c>
      <c r="S87" t="str">
        <v/>
      </c>
      <c r="T87" t="str">
        <v/>
      </c>
      <c r="U87" t="str">
        <v/>
      </c>
      <c r="V87" t="str">
        <v/>
      </c>
      <c r="W87" t="str">
        <v/>
      </c>
      <c r="X87" t="str">
        <v/>
      </c>
      <c r="Y87" t="str">
        <v/>
      </c>
      <c r="Z87" t="str">
        <v/>
      </c>
      <c r="AA87" t="str">
        <v/>
      </c>
      <c r="AB87" t="str">
        <v/>
      </c>
      <c r="AC87" t="str">
        <v/>
      </c>
      <c r="AD87" t="str">
        <v/>
      </c>
      <c r="AE87" t="str">
        <v/>
      </c>
      <c r="AF87" t="str">
        <v/>
      </c>
      <c r="AG87" t="str">
        <v/>
      </c>
      <c r="AH87" t="str">
        <v/>
      </c>
      <c r="AI87" t="str">
        <v/>
      </c>
      <c r="AJ87" t="str">
        <v/>
      </c>
      <c r="AK87" t="str">
        <v/>
      </c>
      <c r="AL87" t="str">
        <v/>
      </c>
    </row>
    <row r="88" spans="8:38" x14ac:dyDescent="0.3">
      <c r="H88" t="str">
        <v/>
      </c>
      <c r="I88" t="str">
        <v/>
      </c>
      <c r="J88" t="str">
        <v/>
      </c>
      <c r="K88" t="str">
        <v/>
      </c>
      <c r="L88" t="str">
        <v/>
      </c>
      <c r="M88" t="str">
        <v/>
      </c>
      <c r="N88" t="str">
        <v/>
      </c>
      <c r="O88" t="str">
        <v/>
      </c>
      <c r="P88" t="str">
        <v/>
      </c>
      <c r="Q88" t="str">
        <v/>
      </c>
      <c r="R88" t="str">
        <v/>
      </c>
      <c r="S88" t="str">
        <v/>
      </c>
      <c r="T88" t="str">
        <v/>
      </c>
      <c r="U88" t="str">
        <v/>
      </c>
      <c r="V88" t="str">
        <v/>
      </c>
      <c r="W88" t="str">
        <v/>
      </c>
      <c r="X88" t="str">
        <v/>
      </c>
      <c r="Y88" t="str">
        <v/>
      </c>
      <c r="Z88" t="str">
        <v/>
      </c>
      <c r="AA88" t="str">
        <v/>
      </c>
      <c r="AB88" t="str">
        <v/>
      </c>
      <c r="AC88" t="str">
        <v/>
      </c>
      <c r="AD88" t="str">
        <v/>
      </c>
      <c r="AE88" t="str">
        <v/>
      </c>
      <c r="AF88" t="str">
        <v/>
      </c>
      <c r="AG88" t="str">
        <v/>
      </c>
      <c r="AH88" t="str">
        <v/>
      </c>
      <c r="AI88" t="str">
        <v/>
      </c>
      <c r="AJ88" t="str">
        <v/>
      </c>
      <c r="AK88" t="str">
        <v/>
      </c>
      <c r="AL88" t="str">
        <v/>
      </c>
    </row>
    <row r="89" spans="8:38" x14ac:dyDescent="0.3">
      <c r="H89" t="str">
        <v/>
      </c>
      <c r="I89" t="str">
        <v/>
      </c>
      <c r="J89" t="str">
        <v/>
      </c>
      <c r="K89" t="str">
        <v/>
      </c>
      <c r="L89" t="str">
        <v/>
      </c>
      <c r="M89" t="str">
        <v/>
      </c>
      <c r="N89" t="str">
        <v/>
      </c>
      <c r="O89" t="str">
        <v/>
      </c>
      <c r="P89" t="str">
        <v/>
      </c>
      <c r="Q89" t="str">
        <v/>
      </c>
      <c r="R89" t="str">
        <v/>
      </c>
      <c r="S89" t="str">
        <v/>
      </c>
      <c r="T89" t="str">
        <v/>
      </c>
      <c r="U89" t="str">
        <v/>
      </c>
      <c r="V89" t="str">
        <v/>
      </c>
      <c r="W89" t="str">
        <v/>
      </c>
      <c r="X89" t="str">
        <v/>
      </c>
      <c r="Y89" t="str">
        <v/>
      </c>
      <c r="Z89" t="str">
        <v/>
      </c>
      <c r="AA89" t="str">
        <v/>
      </c>
      <c r="AB89" t="str">
        <v/>
      </c>
      <c r="AC89" t="str">
        <v/>
      </c>
      <c r="AD89" t="str">
        <v/>
      </c>
      <c r="AE89" t="str">
        <v/>
      </c>
      <c r="AF89" t="str">
        <v/>
      </c>
      <c r="AG89" t="str">
        <v/>
      </c>
      <c r="AH89" t="str">
        <v/>
      </c>
      <c r="AI89" t="str">
        <v/>
      </c>
      <c r="AJ89" t="str">
        <v/>
      </c>
      <c r="AK89" t="str">
        <v/>
      </c>
      <c r="AL89" t="str">
        <v/>
      </c>
    </row>
    <row r="90" spans="8:38" x14ac:dyDescent="0.3">
      <c r="H90" t="str">
        <v/>
      </c>
      <c r="I90" t="str">
        <v/>
      </c>
      <c r="J90" t="str">
        <v/>
      </c>
      <c r="K90" t="str">
        <v/>
      </c>
      <c r="L90" t="str">
        <v/>
      </c>
      <c r="M90" t="str">
        <v/>
      </c>
      <c r="N90" t="str">
        <v/>
      </c>
      <c r="O90" t="str">
        <v/>
      </c>
      <c r="P90" t="str">
        <v/>
      </c>
      <c r="Q90" t="str">
        <v/>
      </c>
      <c r="R90" t="str">
        <v/>
      </c>
      <c r="S90" t="str">
        <v/>
      </c>
      <c r="T90" t="str">
        <v/>
      </c>
      <c r="U90" t="str">
        <v/>
      </c>
      <c r="V90" t="str">
        <v/>
      </c>
      <c r="W90" t="str">
        <v/>
      </c>
      <c r="X90" t="str">
        <v/>
      </c>
      <c r="Y90" t="str">
        <v/>
      </c>
      <c r="Z90" t="str">
        <v/>
      </c>
      <c r="AA90" t="str">
        <v/>
      </c>
      <c r="AB90" t="str">
        <v/>
      </c>
      <c r="AC90" t="str">
        <v/>
      </c>
      <c r="AD90" t="str">
        <v/>
      </c>
      <c r="AE90" t="str">
        <v/>
      </c>
      <c r="AF90" t="str">
        <v/>
      </c>
      <c r="AG90" t="str">
        <v/>
      </c>
      <c r="AH90" t="str">
        <v/>
      </c>
      <c r="AI90" t="str">
        <v/>
      </c>
      <c r="AJ90" t="str">
        <v/>
      </c>
      <c r="AK90" t="str">
        <v/>
      </c>
      <c r="AL90" t="str">
        <v/>
      </c>
    </row>
    <row r="91" spans="8:38" x14ac:dyDescent="0.3">
      <c r="H91" t="str">
        <v/>
      </c>
      <c r="I91" t="str">
        <v/>
      </c>
      <c r="J91" t="str">
        <v/>
      </c>
      <c r="K91" t="str">
        <v/>
      </c>
      <c r="L91" t="str">
        <v/>
      </c>
      <c r="M91" t="str">
        <v/>
      </c>
      <c r="N91" t="str">
        <v/>
      </c>
      <c r="O91" t="str">
        <v/>
      </c>
      <c r="P91" t="str">
        <v/>
      </c>
      <c r="Q91" t="str">
        <v/>
      </c>
      <c r="R91" t="str">
        <v/>
      </c>
      <c r="S91" t="str">
        <v/>
      </c>
      <c r="T91" t="str">
        <v/>
      </c>
      <c r="U91" t="str">
        <v/>
      </c>
      <c r="V91" t="str">
        <v/>
      </c>
      <c r="W91" t="str">
        <v/>
      </c>
      <c r="X91" t="str">
        <v/>
      </c>
      <c r="Y91" t="str">
        <v/>
      </c>
      <c r="Z91" t="str">
        <v/>
      </c>
      <c r="AA91" t="str">
        <v/>
      </c>
      <c r="AB91" t="str">
        <v/>
      </c>
      <c r="AC91" t="str">
        <v/>
      </c>
      <c r="AD91" t="str">
        <v/>
      </c>
      <c r="AE91" t="str">
        <v/>
      </c>
      <c r="AF91" t="str">
        <v/>
      </c>
      <c r="AG91" t="str">
        <v/>
      </c>
      <c r="AH91" t="str">
        <v/>
      </c>
      <c r="AI91" t="str">
        <v/>
      </c>
      <c r="AJ91" t="str">
        <v/>
      </c>
      <c r="AK91" t="str">
        <v/>
      </c>
      <c r="AL91" t="str">
        <v/>
      </c>
    </row>
    <row r="92" spans="8:38" x14ac:dyDescent="0.3">
      <c r="H92" t="str">
        <v/>
      </c>
      <c r="I92" t="str">
        <v/>
      </c>
      <c r="J92" t="str">
        <v/>
      </c>
      <c r="K92" t="str">
        <v/>
      </c>
      <c r="L92" t="str">
        <v/>
      </c>
      <c r="M92" t="str">
        <v/>
      </c>
      <c r="N92" t="str">
        <v/>
      </c>
      <c r="O92" t="str">
        <v/>
      </c>
      <c r="P92" t="str">
        <v/>
      </c>
      <c r="Q92" t="str">
        <v/>
      </c>
      <c r="R92" t="str">
        <v/>
      </c>
      <c r="S92" t="str">
        <v/>
      </c>
      <c r="T92" t="str">
        <v/>
      </c>
      <c r="U92" t="str">
        <v/>
      </c>
      <c r="V92" t="str">
        <v/>
      </c>
      <c r="W92" t="str">
        <v/>
      </c>
      <c r="X92" t="str">
        <v/>
      </c>
      <c r="Y92" t="str">
        <v/>
      </c>
      <c r="Z92" t="str">
        <v/>
      </c>
      <c r="AA92" t="str">
        <v/>
      </c>
      <c r="AB92" t="str">
        <v/>
      </c>
      <c r="AC92" t="str">
        <v/>
      </c>
      <c r="AD92" t="str">
        <v/>
      </c>
      <c r="AE92" t="str">
        <v/>
      </c>
      <c r="AF92" t="str">
        <v/>
      </c>
      <c r="AG92" t="str">
        <v/>
      </c>
      <c r="AH92" t="str">
        <v/>
      </c>
      <c r="AI92" t="str">
        <v/>
      </c>
      <c r="AJ92" t="str">
        <v/>
      </c>
      <c r="AK92" t="str">
        <v/>
      </c>
      <c r="AL92" t="str">
        <v/>
      </c>
    </row>
    <row r="93" spans="8:38" x14ac:dyDescent="0.3">
      <c r="H93" t="str">
        <v/>
      </c>
      <c r="I93" t="str">
        <v/>
      </c>
      <c r="J93" t="str">
        <v/>
      </c>
      <c r="K93" t="str">
        <v/>
      </c>
      <c r="L93" t="str">
        <v/>
      </c>
      <c r="M93" t="str">
        <v/>
      </c>
      <c r="N93" t="str">
        <v/>
      </c>
      <c r="O93" t="str">
        <v/>
      </c>
      <c r="P93" t="str">
        <v/>
      </c>
      <c r="Q93" t="str">
        <v/>
      </c>
      <c r="R93" t="str">
        <v/>
      </c>
      <c r="S93" t="str">
        <v/>
      </c>
      <c r="T93" t="str">
        <v/>
      </c>
      <c r="U93" t="str">
        <v/>
      </c>
      <c r="V93" t="str">
        <v/>
      </c>
      <c r="W93" t="str">
        <v/>
      </c>
      <c r="X93" t="str">
        <v/>
      </c>
      <c r="Y93" t="str">
        <v/>
      </c>
      <c r="Z93" t="str">
        <v/>
      </c>
      <c r="AA93" t="str">
        <v/>
      </c>
      <c r="AB93" t="str">
        <v/>
      </c>
      <c r="AC93" t="str">
        <v/>
      </c>
      <c r="AD93" t="str">
        <v/>
      </c>
      <c r="AE93" t="str">
        <v/>
      </c>
      <c r="AF93" t="str">
        <v/>
      </c>
      <c r="AG93" t="str">
        <v/>
      </c>
      <c r="AH93" t="str">
        <v/>
      </c>
      <c r="AI93" t="str">
        <v/>
      </c>
      <c r="AJ93" t="str">
        <v/>
      </c>
      <c r="AK93" t="str">
        <v/>
      </c>
      <c r="AL93" t="str">
        <v/>
      </c>
    </row>
    <row r="94" spans="8:38" x14ac:dyDescent="0.3">
      <c r="H94" t="str">
        <v/>
      </c>
      <c r="I94" t="str">
        <v/>
      </c>
      <c r="J94" t="str">
        <v/>
      </c>
      <c r="K94" t="str">
        <v/>
      </c>
      <c r="L94" t="str">
        <v/>
      </c>
      <c r="M94" t="str">
        <v/>
      </c>
      <c r="N94" t="str">
        <v/>
      </c>
      <c r="O94" t="str">
        <v/>
      </c>
      <c r="P94" t="str">
        <v/>
      </c>
      <c r="Q94" t="str">
        <v/>
      </c>
      <c r="R94" t="str">
        <v/>
      </c>
      <c r="S94" t="str">
        <v/>
      </c>
      <c r="T94" t="str">
        <v/>
      </c>
      <c r="U94" t="str">
        <v/>
      </c>
      <c r="V94" t="str">
        <v/>
      </c>
      <c r="W94" t="str">
        <v/>
      </c>
      <c r="X94" t="str">
        <v/>
      </c>
      <c r="Y94" t="str">
        <v/>
      </c>
      <c r="Z94" t="str">
        <v/>
      </c>
      <c r="AA94" t="str">
        <v/>
      </c>
      <c r="AB94" t="str">
        <v/>
      </c>
      <c r="AC94" t="str">
        <v/>
      </c>
      <c r="AD94" t="str">
        <v/>
      </c>
      <c r="AE94" t="str">
        <v/>
      </c>
      <c r="AF94" t="str">
        <v/>
      </c>
      <c r="AG94" t="str">
        <v/>
      </c>
      <c r="AH94" t="str">
        <v/>
      </c>
      <c r="AI94" t="str">
        <v/>
      </c>
      <c r="AJ94" t="str">
        <v/>
      </c>
      <c r="AK94" t="str">
        <v/>
      </c>
      <c r="AL94" t="str">
        <v/>
      </c>
    </row>
    <row r="95" spans="8:38" x14ac:dyDescent="0.3">
      <c r="H95" t="str">
        <v/>
      </c>
      <c r="I95" t="str">
        <v/>
      </c>
      <c r="J95" t="str">
        <v/>
      </c>
      <c r="K95" t="str">
        <v/>
      </c>
      <c r="L95" t="str">
        <v/>
      </c>
      <c r="M95" t="str">
        <v/>
      </c>
      <c r="N95" t="str">
        <v/>
      </c>
      <c r="O95" t="str">
        <v/>
      </c>
      <c r="P95" t="str">
        <v/>
      </c>
      <c r="Q95" t="str">
        <v/>
      </c>
      <c r="R95" t="str">
        <v/>
      </c>
      <c r="S95" t="str">
        <v/>
      </c>
      <c r="T95" t="str">
        <v/>
      </c>
      <c r="U95" t="str">
        <v/>
      </c>
      <c r="V95" t="str">
        <v/>
      </c>
      <c r="W95" t="str">
        <v/>
      </c>
      <c r="X95" t="str">
        <v/>
      </c>
      <c r="Y95" t="str">
        <v/>
      </c>
      <c r="Z95" t="str">
        <v/>
      </c>
      <c r="AA95" t="str">
        <v/>
      </c>
      <c r="AB95" t="str">
        <v/>
      </c>
      <c r="AC95" t="str">
        <v/>
      </c>
      <c r="AD95" t="str">
        <v/>
      </c>
      <c r="AE95" t="str">
        <v/>
      </c>
      <c r="AF95" t="str">
        <v/>
      </c>
      <c r="AG95" t="str">
        <v/>
      </c>
      <c r="AH95" t="str">
        <v/>
      </c>
      <c r="AI95" t="str">
        <v/>
      </c>
      <c r="AJ95" t="str">
        <v/>
      </c>
      <c r="AK95" t="str">
        <v/>
      </c>
      <c r="AL95" t="str">
        <v/>
      </c>
    </row>
    <row r="96" spans="8:38" x14ac:dyDescent="0.3">
      <c r="H96" t="str">
        <v/>
      </c>
      <c r="I96" t="str">
        <v/>
      </c>
      <c r="J96" t="str">
        <v/>
      </c>
      <c r="K96" t="str">
        <v/>
      </c>
      <c r="L96" t="str">
        <v/>
      </c>
      <c r="M96" t="str">
        <v/>
      </c>
      <c r="N96" t="str">
        <v/>
      </c>
      <c r="O96" t="str">
        <v/>
      </c>
      <c r="P96" t="str">
        <v/>
      </c>
      <c r="Q96" t="str">
        <v/>
      </c>
      <c r="R96" t="str">
        <v/>
      </c>
      <c r="S96" t="str">
        <v/>
      </c>
      <c r="T96" t="str">
        <v/>
      </c>
      <c r="U96" t="str">
        <v/>
      </c>
      <c r="V96" t="str">
        <v/>
      </c>
      <c r="W96" t="str">
        <v/>
      </c>
      <c r="X96" t="str">
        <v/>
      </c>
      <c r="Y96" t="str">
        <v/>
      </c>
      <c r="Z96" t="str">
        <v/>
      </c>
      <c r="AA96" t="str">
        <v/>
      </c>
      <c r="AB96" t="str">
        <v/>
      </c>
      <c r="AC96" t="str">
        <v/>
      </c>
      <c r="AD96" t="str">
        <v/>
      </c>
      <c r="AE96" t="str">
        <v/>
      </c>
      <c r="AF96" t="str">
        <v/>
      </c>
      <c r="AG96" t="str">
        <v/>
      </c>
      <c r="AH96" t="str">
        <v/>
      </c>
      <c r="AI96" t="str">
        <v/>
      </c>
      <c r="AJ96" t="str">
        <v/>
      </c>
      <c r="AK96" t="str">
        <v/>
      </c>
      <c r="AL96" t="str">
        <v/>
      </c>
    </row>
    <row r="97" spans="8:38" x14ac:dyDescent="0.3">
      <c r="H97" t="str">
        <v/>
      </c>
      <c r="I97" t="str">
        <v/>
      </c>
      <c r="J97" t="str">
        <v/>
      </c>
      <c r="K97" t="str">
        <v/>
      </c>
      <c r="L97" t="str">
        <v/>
      </c>
      <c r="M97" t="str">
        <v/>
      </c>
      <c r="N97" t="str">
        <v/>
      </c>
      <c r="O97" t="str">
        <v/>
      </c>
      <c r="P97" t="str">
        <v/>
      </c>
      <c r="Q97" t="str">
        <v/>
      </c>
      <c r="R97" t="str">
        <v/>
      </c>
      <c r="S97" t="str">
        <v/>
      </c>
      <c r="T97" t="str">
        <v/>
      </c>
      <c r="U97" t="str">
        <v/>
      </c>
      <c r="V97" t="str">
        <v/>
      </c>
      <c r="W97" t="str">
        <v/>
      </c>
      <c r="X97" t="str">
        <v/>
      </c>
      <c r="Y97" t="str">
        <v/>
      </c>
      <c r="Z97" t="str">
        <v/>
      </c>
      <c r="AA97" t="str">
        <v/>
      </c>
      <c r="AB97" t="str">
        <v/>
      </c>
      <c r="AC97" t="str">
        <v/>
      </c>
      <c r="AD97" t="str">
        <v/>
      </c>
      <c r="AE97" t="str">
        <v/>
      </c>
      <c r="AF97" t="str">
        <v/>
      </c>
      <c r="AG97" t="str">
        <v/>
      </c>
      <c r="AH97" t="str">
        <v/>
      </c>
      <c r="AI97" t="str">
        <v/>
      </c>
      <c r="AJ97" t="str">
        <v/>
      </c>
      <c r="AK97" t="str">
        <v/>
      </c>
      <c r="AL97" t="str">
        <v/>
      </c>
    </row>
    <row r="98" spans="8:38" x14ac:dyDescent="0.3">
      <c r="H98" t="str">
        <v/>
      </c>
      <c r="I98" t="str">
        <v/>
      </c>
      <c r="J98" t="str">
        <v/>
      </c>
      <c r="K98" t="str">
        <v/>
      </c>
      <c r="L98" t="str">
        <v/>
      </c>
      <c r="M98" t="str">
        <v/>
      </c>
      <c r="N98" t="str">
        <v/>
      </c>
      <c r="O98" t="str">
        <v/>
      </c>
      <c r="P98" t="str">
        <v/>
      </c>
      <c r="Q98" t="str">
        <v/>
      </c>
      <c r="R98" t="str">
        <v/>
      </c>
      <c r="S98" t="str">
        <v/>
      </c>
      <c r="T98" t="str">
        <v/>
      </c>
      <c r="U98" t="str">
        <v/>
      </c>
      <c r="V98" t="str">
        <v/>
      </c>
      <c r="W98" t="str">
        <v/>
      </c>
      <c r="X98" t="str">
        <v/>
      </c>
      <c r="Y98" t="str">
        <v/>
      </c>
      <c r="Z98" t="str">
        <v/>
      </c>
      <c r="AA98" t="str">
        <v/>
      </c>
      <c r="AB98" t="str">
        <v/>
      </c>
      <c r="AC98" t="str">
        <v/>
      </c>
      <c r="AD98" t="str">
        <v/>
      </c>
      <c r="AE98" t="str">
        <v/>
      </c>
      <c r="AF98" t="str">
        <v/>
      </c>
      <c r="AG98" t="str">
        <v/>
      </c>
      <c r="AH98" t="str">
        <v/>
      </c>
      <c r="AI98" t="str">
        <v/>
      </c>
      <c r="AJ98" t="str">
        <v/>
      </c>
      <c r="AK98" t="str">
        <v/>
      </c>
      <c r="AL98" t="str">
        <v/>
      </c>
    </row>
    <row r="99" spans="8:38" x14ac:dyDescent="0.3">
      <c r="H99" t="str">
        <v/>
      </c>
      <c r="I99" t="str">
        <v/>
      </c>
      <c r="J99" t="str">
        <v/>
      </c>
      <c r="K99" t="str">
        <v/>
      </c>
      <c r="L99" t="str">
        <v/>
      </c>
      <c r="M99" t="str">
        <v/>
      </c>
      <c r="N99" t="str">
        <v/>
      </c>
      <c r="O99" t="str">
        <v/>
      </c>
      <c r="P99" t="str">
        <v/>
      </c>
      <c r="Q99" t="str">
        <v/>
      </c>
      <c r="R99" t="str">
        <v/>
      </c>
      <c r="S99" t="str">
        <v/>
      </c>
      <c r="T99" t="str">
        <v/>
      </c>
      <c r="U99" t="str">
        <v/>
      </c>
      <c r="V99" t="str">
        <v/>
      </c>
      <c r="W99" t="str">
        <v/>
      </c>
      <c r="X99" t="str">
        <v/>
      </c>
      <c r="Y99" t="str">
        <v/>
      </c>
      <c r="Z99" t="str">
        <v/>
      </c>
      <c r="AA99" t="str">
        <v/>
      </c>
      <c r="AB99" t="str">
        <v/>
      </c>
      <c r="AC99" t="str">
        <v/>
      </c>
      <c r="AD99" t="str">
        <v/>
      </c>
      <c r="AE99" t="str">
        <v/>
      </c>
      <c r="AF99" t="str">
        <v/>
      </c>
      <c r="AG99" t="str">
        <v/>
      </c>
      <c r="AH99" t="str">
        <v/>
      </c>
      <c r="AI99" t="str">
        <v/>
      </c>
      <c r="AJ99" t="str">
        <v/>
      </c>
      <c r="AK99" t="str">
        <v/>
      </c>
      <c r="AL99" t="str">
        <v/>
      </c>
    </row>
    <row r="100" spans="8:38" x14ac:dyDescent="0.3">
      <c r="H100" t="str">
        <v/>
      </c>
      <c r="I100" t="str">
        <v/>
      </c>
      <c r="J100" t="str">
        <v/>
      </c>
      <c r="K100" t="str">
        <v/>
      </c>
      <c r="L100" t="str">
        <v/>
      </c>
      <c r="M100" t="str">
        <v/>
      </c>
      <c r="N100" t="str">
        <v/>
      </c>
      <c r="O100" t="str">
        <v/>
      </c>
      <c r="P100" t="str">
        <v/>
      </c>
      <c r="Q100" t="str">
        <v/>
      </c>
      <c r="R100" t="str">
        <v/>
      </c>
      <c r="S100" t="str">
        <v/>
      </c>
      <c r="T100" t="str">
        <v/>
      </c>
      <c r="U100" t="str">
        <v/>
      </c>
      <c r="V100" t="str">
        <v/>
      </c>
      <c r="W100" t="str">
        <v/>
      </c>
      <c r="X100" t="str">
        <v/>
      </c>
      <c r="Y100" t="str">
        <v/>
      </c>
      <c r="Z100" t="str">
        <v/>
      </c>
      <c r="AA100" t="str">
        <v/>
      </c>
      <c r="AB100" t="str">
        <v/>
      </c>
      <c r="AC100" t="str">
        <v/>
      </c>
      <c r="AD100" t="str">
        <v/>
      </c>
      <c r="AE100" t="str">
        <v/>
      </c>
      <c r="AF100" t="str">
        <v/>
      </c>
      <c r="AG100" t="str">
        <v/>
      </c>
      <c r="AH100" t="str">
        <v/>
      </c>
      <c r="AI100" t="str">
        <v/>
      </c>
      <c r="AJ100" t="str">
        <v/>
      </c>
      <c r="AK100" t="str">
        <v/>
      </c>
      <c r="AL100" t="str">
        <v/>
      </c>
    </row>
    <row r="101" spans="8:38" x14ac:dyDescent="0.3">
      <c r="H101" t="str">
        <v/>
      </c>
      <c r="I101" t="str">
        <v/>
      </c>
      <c r="J101" t="str">
        <v/>
      </c>
      <c r="K101" t="str">
        <v/>
      </c>
      <c r="L101" t="str">
        <v/>
      </c>
      <c r="M101" t="str">
        <v/>
      </c>
      <c r="N101" t="str">
        <v/>
      </c>
      <c r="O101" t="str">
        <v/>
      </c>
      <c r="P101" t="str">
        <v/>
      </c>
      <c r="Q101" t="str">
        <v/>
      </c>
      <c r="R101" t="str">
        <v/>
      </c>
      <c r="S101" t="str">
        <v/>
      </c>
      <c r="T101" t="str">
        <v/>
      </c>
      <c r="U101" t="str">
        <v/>
      </c>
      <c r="V101" t="str">
        <v/>
      </c>
      <c r="W101" t="str">
        <v/>
      </c>
      <c r="X101" t="str">
        <v/>
      </c>
      <c r="Y101" t="str">
        <v/>
      </c>
      <c r="Z101" t="str">
        <v/>
      </c>
      <c r="AA101" t="str">
        <v/>
      </c>
      <c r="AB101" t="str">
        <v/>
      </c>
      <c r="AC101" t="str">
        <v/>
      </c>
      <c r="AD101" t="str">
        <v/>
      </c>
      <c r="AE101" t="str">
        <v/>
      </c>
      <c r="AF101" t="str">
        <v/>
      </c>
      <c r="AG101" t="str">
        <v/>
      </c>
      <c r="AH101" t="str">
        <v/>
      </c>
      <c r="AI101" t="str">
        <v/>
      </c>
      <c r="AJ101" t="str">
        <v/>
      </c>
      <c r="AK101" t="str">
        <v/>
      </c>
      <c r="AL101" t="str">
        <v/>
      </c>
    </row>
    <row r="102" spans="8:38" x14ac:dyDescent="0.3">
      <c r="H102" t="str">
        <v/>
      </c>
      <c r="I102" t="str">
        <v/>
      </c>
      <c r="J102" t="str">
        <v/>
      </c>
      <c r="K102" t="str">
        <v/>
      </c>
      <c r="L102" t="str">
        <v/>
      </c>
      <c r="M102" t="str">
        <v/>
      </c>
      <c r="N102" t="str">
        <v/>
      </c>
      <c r="O102" t="str">
        <v/>
      </c>
      <c r="P102" t="str">
        <v/>
      </c>
      <c r="Q102" t="str">
        <v/>
      </c>
      <c r="R102" t="str">
        <v/>
      </c>
      <c r="S102" t="str">
        <v/>
      </c>
      <c r="T102" t="str">
        <v/>
      </c>
      <c r="U102" t="str">
        <v/>
      </c>
      <c r="V102" t="str">
        <v/>
      </c>
      <c r="W102" t="str">
        <v/>
      </c>
      <c r="X102" t="str">
        <v/>
      </c>
      <c r="Y102" t="str">
        <v/>
      </c>
      <c r="Z102" t="str">
        <v/>
      </c>
      <c r="AA102" t="str">
        <v/>
      </c>
      <c r="AB102" t="str">
        <v/>
      </c>
      <c r="AC102" t="str">
        <v/>
      </c>
      <c r="AD102" t="str">
        <v/>
      </c>
      <c r="AE102" t="str">
        <v/>
      </c>
      <c r="AF102" t="str">
        <v/>
      </c>
      <c r="AG102" t="str">
        <v/>
      </c>
      <c r="AH102" t="str">
        <v/>
      </c>
      <c r="AI102" t="str">
        <v/>
      </c>
      <c r="AJ102" t="str">
        <v/>
      </c>
      <c r="AK102" t="str">
        <v/>
      </c>
      <c r="AL102" t="str">
        <v/>
      </c>
    </row>
    <row r="103" spans="8:38" x14ac:dyDescent="0.3">
      <c r="H103" t="str">
        <v/>
      </c>
      <c r="I103" t="str">
        <v/>
      </c>
      <c r="J103" t="str">
        <v/>
      </c>
      <c r="K103" t="str">
        <v/>
      </c>
      <c r="L103" t="str">
        <v/>
      </c>
      <c r="M103" t="str">
        <v/>
      </c>
      <c r="N103" t="str">
        <v/>
      </c>
      <c r="O103" t="str">
        <v/>
      </c>
      <c r="P103" t="str">
        <v/>
      </c>
      <c r="Q103" t="str">
        <v/>
      </c>
      <c r="R103" t="str">
        <v/>
      </c>
      <c r="S103" t="str">
        <v/>
      </c>
      <c r="T103" t="str">
        <v/>
      </c>
      <c r="U103" t="str">
        <v/>
      </c>
      <c r="V103" t="str">
        <v/>
      </c>
      <c r="W103" t="str">
        <v/>
      </c>
      <c r="X103" t="str">
        <v/>
      </c>
      <c r="Y103" t="str">
        <v/>
      </c>
      <c r="Z103" t="str">
        <v/>
      </c>
      <c r="AA103" t="str">
        <v/>
      </c>
      <c r="AB103" t="str">
        <v/>
      </c>
      <c r="AC103" t="str">
        <v/>
      </c>
      <c r="AD103" t="str">
        <v/>
      </c>
      <c r="AE103" t="str">
        <v/>
      </c>
      <c r="AF103" t="str">
        <v/>
      </c>
      <c r="AG103" t="str">
        <v/>
      </c>
      <c r="AH103" t="str">
        <v/>
      </c>
      <c r="AI103" t="str">
        <v/>
      </c>
      <c r="AJ103" t="str">
        <v/>
      </c>
      <c r="AK103" t="str">
        <v/>
      </c>
      <c r="AL103" t="str">
        <v/>
      </c>
    </row>
    <row r="104" spans="8:38" x14ac:dyDescent="0.3">
      <c r="H104" t="str">
        <v/>
      </c>
      <c r="I104" t="str">
        <v/>
      </c>
      <c r="J104" t="str">
        <v/>
      </c>
      <c r="K104" t="str">
        <v/>
      </c>
      <c r="L104" t="str">
        <v/>
      </c>
      <c r="M104" t="str">
        <v/>
      </c>
      <c r="N104" t="str">
        <v/>
      </c>
      <c r="O104" t="str">
        <v/>
      </c>
      <c r="P104" t="str">
        <v/>
      </c>
      <c r="Q104" t="str">
        <v/>
      </c>
      <c r="R104" t="str">
        <v/>
      </c>
      <c r="S104" t="str">
        <v/>
      </c>
      <c r="T104" t="str">
        <v/>
      </c>
      <c r="U104" t="str">
        <v/>
      </c>
      <c r="V104" t="str">
        <v/>
      </c>
      <c r="W104" t="str">
        <v/>
      </c>
      <c r="X104" t="str">
        <v/>
      </c>
      <c r="Y104" t="str">
        <v/>
      </c>
      <c r="Z104" t="str">
        <v/>
      </c>
      <c r="AA104" t="str">
        <v/>
      </c>
      <c r="AB104" t="str">
        <v/>
      </c>
      <c r="AC104" t="str">
        <v/>
      </c>
      <c r="AD104" t="str">
        <v/>
      </c>
      <c r="AE104" t="str">
        <v/>
      </c>
      <c r="AF104" t="str">
        <v/>
      </c>
      <c r="AG104" t="str">
        <v/>
      </c>
      <c r="AH104" t="str">
        <v/>
      </c>
      <c r="AI104" t="str">
        <v/>
      </c>
      <c r="AJ104" t="str">
        <v/>
      </c>
      <c r="AK104" t="str">
        <v/>
      </c>
      <c r="AL104" t="str">
        <v/>
      </c>
    </row>
    <row r="105" spans="8:38" x14ac:dyDescent="0.3">
      <c r="H105" t="str">
        <v/>
      </c>
      <c r="I105" t="str">
        <v/>
      </c>
      <c r="J105" t="str">
        <v/>
      </c>
      <c r="K105" t="str">
        <v/>
      </c>
      <c r="L105" t="str">
        <v/>
      </c>
      <c r="M105" t="str">
        <v/>
      </c>
      <c r="N105" t="str">
        <v/>
      </c>
      <c r="O105" t="str">
        <v/>
      </c>
      <c r="P105" t="str">
        <v/>
      </c>
      <c r="Q105" t="str">
        <v/>
      </c>
      <c r="R105" t="str">
        <v/>
      </c>
      <c r="S105" t="str">
        <v/>
      </c>
      <c r="T105" t="str">
        <v/>
      </c>
      <c r="U105" t="str">
        <v/>
      </c>
      <c r="V105" t="str">
        <v/>
      </c>
      <c r="W105" t="str">
        <v/>
      </c>
      <c r="X105" t="str">
        <v/>
      </c>
      <c r="Y105" t="str">
        <v/>
      </c>
      <c r="Z105" t="str">
        <v/>
      </c>
      <c r="AA105" t="str">
        <v/>
      </c>
      <c r="AB105" t="str">
        <v/>
      </c>
      <c r="AC105" t="str">
        <v/>
      </c>
      <c r="AD105" t="str">
        <v/>
      </c>
      <c r="AE105" t="str">
        <v/>
      </c>
      <c r="AF105" t="str">
        <v/>
      </c>
      <c r="AG105" t="str">
        <v/>
      </c>
      <c r="AH105" t="str">
        <v/>
      </c>
      <c r="AI105" t="str">
        <v/>
      </c>
      <c r="AJ105" t="str">
        <v/>
      </c>
      <c r="AK105" t="str">
        <v/>
      </c>
      <c r="AL105" t="str">
        <v/>
      </c>
    </row>
    <row r="106" spans="8:38" x14ac:dyDescent="0.3">
      <c r="H106" t="str">
        <v/>
      </c>
      <c r="I106" t="str">
        <v/>
      </c>
      <c r="J106" t="str">
        <v/>
      </c>
      <c r="K106" t="str">
        <v/>
      </c>
      <c r="L106" t="str">
        <v/>
      </c>
      <c r="M106" t="str">
        <v/>
      </c>
      <c r="N106" t="str">
        <v/>
      </c>
      <c r="O106" t="str">
        <v/>
      </c>
      <c r="P106" t="str">
        <v/>
      </c>
      <c r="Q106" t="str">
        <v/>
      </c>
      <c r="R106" t="str">
        <v/>
      </c>
      <c r="S106" t="str">
        <v/>
      </c>
      <c r="T106" t="str">
        <v/>
      </c>
      <c r="U106" t="str">
        <v/>
      </c>
      <c r="V106" t="str">
        <v/>
      </c>
      <c r="W106" t="str">
        <v/>
      </c>
      <c r="X106" t="str">
        <v/>
      </c>
      <c r="Y106" t="str">
        <v/>
      </c>
      <c r="Z106" t="str">
        <v/>
      </c>
      <c r="AA106" t="str">
        <v/>
      </c>
      <c r="AB106" t="str">
        <v/>
      </c>
      <c r="AC106" t="str">
        <v/>
      </c>
      <c r="AD106" t="str">
        <v/>
      </c>
      <c r="AE106" t="str">
        <v/>
      </c>
      <c r="AF106" t="str">
        <v/>
      </c>
      <c r="AG106" t="str">
        <v/>
      </c>
      <c r="AH106" t="str">
        <v/>
      </c>
      <c r="AI106" t="str">
        <v/>
      </c>
      <c r="AJ106" t="str">
        <v/>
      </c>
      <c r="AK106" t="str">
        <v/>
      </c>
      <c r="AL106" t="str">
        <v/>
      </c>
    </row>
    <row r="107" spans="8:38" x14ac:dyDescent="0.3">
      <c r="H107" t="str">
        <v/>
      </c>
      <c r="I107" t="str">
        <v/>
      </c>
      <c r="J107" t="str">
        <v/>
      </c>
      <c r="K107" t="str">
        <v/>
      </c>
      <c r="L107" t="str">
        <v/>
      </c>
      <c r="M107" t="str">
        <v/>
      </c>
      <c r="N107" t="str">
        <v/>
      </c>
      <c r="O107" t="str">
        <v/>
      </c>
      <c r="P107" t="str">
        <v/>
      </c>
      <c r="Q107" t="str">
        <v/>
      </c>
      <c r="R107" t="str">
        <v/>
      </c>
      <c r="S107" t="str">
        <v/>
      </c>
      <c r="T107" t="str">
        <v/>
      </c>
      <c r="U107" t="str">
        <v/>
      </c>
      <c r="V107" t="str">
        <v/>
      </c>
      <c r="W107" t="str">
        <v/>
      </c>
      <c r="X107" t="str">
        <v/>
      </c>
      <c r="Y107" t="str">
        <v/>
      </c>
      <c r="Z107" t="str">
        <v/>
      </c>
      <c r="AA107" t="str">
        <v/>
      </c>
      <c r="AB107" t="str">
        <v/>
      </c>
      <c r="AC107" t="str">
        <v/>
      </c>
      <c r="AD107" t="str">
        <v/>
      </c>
      <c r="AE107" t="str">
        <v/>
      </c>
      <c r="AF107" t="str">
        <v/>
      </c>
      <c r="AG107" t="str">
        <v/>
      </c>
      <c r="AH107" t="str">
        <v/>
      </c>
      <c r="AI107" t="str">
        <v/>
      </c>
      <c r="AJ107" t="str">
        <v/>
      </c>
      <c r="AK107" t="str">
        <v/>
      </c>
      <c r="AL107" t="str">
        <v/>
      </c>
    </row>
    <row r="108" spans="8:38" x14ac:dyDescent="0.3">
      <c r="H108" t="str">
        <v/>
      </c>
      <c r="I108" t="str">
        <v/>
      </c>
      <c r="J108" t="str">
        <v/>
      </c>
      <c r="K108" t="str">
        <v/>
      </c>
      <c r="L108" t="str">
        <v/>
      </c>
      <c r="M108" t="str">
        <v/>
      </c>
      <c r="N108" t="str">
        <v/>
      </c>
      <c r="O108" t="str">
        <v/>
      </c>
      <c r="P108" t="str">
        <v/>
      </c>
      <c r="Q108" t="str">
        <v/>
      </c>
      <c r="R108" t="str">
        <v/>
      </c>
      <c r="S108" t="str">
        <v/>
      </c>
      <c r="T108" t="str">
        <v/>
      </c>
      <c r="U108" t="str">
        <v/>
      </c>
      <c r="V108" t="str">
        <v/>
      </c>
      <c r="W108" t="str">
        <v/>
      </c>
      <c r="X108" t="str">
        <v/>
      </c>
      <c r="Y108" t="str">
        <v/>
      </c>
      <c r="Z108" t="str">
        <v/>
      </c>
      <c r="AA108" t="str">
        <v/>
      </c>
      <c r="AB108" t="str">
        <v/>
      </c>
      <c r="AC108" t="str">
        <v/>
      </c>
      <c r="AD108" t="str">
        <v/>
      </c>
      <c r="AE108" t="str">
        <v/>
      </c>
      <c r="AF108" t="str">
        <v/>
      </c>
      <c r="AG108" t="str">
        <v/>
      </c>
      <c r="AH108" t="str">
        <v/>
      </c>
      <c r="AI108" t="str">
        <v/>
      </c>
      <c r="AJ108" t="str">
        <v/>
      </c>
      <c r="AK108" t="str">
        <v/>
      </c>
      <c r="AL108" t="str">
        <v/>
      </c>
    </row>
    <row r="109" spans="8:38" x14ac:dyDescent="0.3">
      <c r="H109" t="str">
        <v/>
      </c>
      <c r="I109" t="str">
        <v/>
      </c>
      <c r="J109" t="str">
        <v/>
      </c>
      <c r="K109" t="str">
        <v/>
      </c>
      <c r="L109" t="str">
        <v/>
      </c>
      <c r="M109" t="str">
        <v/>
      </c>
      <c r="N109" t="str">
        <v/>
      </c>
      <c r="O109" t="str">
        <v/>
      </c>
      <c r="P109" t="str">
        <v/>
      </c>
      <c r="Q109" t="str">
        <v/>
      </c>
      <c r="R109" t="str">
        <v/>
      </c>
      <c r="S109" t="str">
        <v/>
      </c>
      <c r="T109" t="str">
        <v/>
      </c>
      <c r="U109" t="str">
        <v/>
      </c>
      <c r="V109" t="str">
        <v/>
      </c>
      <c r="W109" t="str">
        <v/>
      </c>
      <c r="X109" t="str">
        <v/>
      </c>
      <c r="Y109" t="str">
        <v/>
      </c>
      <c r="Z109" t="str">
        <v/>
      </c>
      <c r="AA109" t="str">
        <v/>
      </c>
      <c r="AB109" t="str">
        <v/>
      </c>
      <c r="AC109" t="str">
        <v/>
      </c>
      <c r="AD109" t="str">
        <v/>
      </c>
      <c r="AE109" t="str">
        <v/>
      </c>
      <c r="AF109" t="str">
        <v/>
      </c>
      <c r="AG109" t="str">
        <v/>
      </c>
      <c r="AH109" t="str">
        <v/>
      </c>
      <c r="AI109" t="str">
        <v/>
      </c>
      <c r="AJ109" t="str">
        <v/>
      </c>
      <c r="AK109" t="str">
        <v/>
      </c>
      <c r="AL109" t="str">
        <v/>
      </c>
    </row>
    <row r="110" spans="8:38" x14ac:dyDescent="0.3">
      <c r="H110" t="str">
        <v/>
      </c>
      <c r="I110" t="str">
        <v/>
      </c>
      <c r="J110" t="str">
        <v/>
      </c>
      <c r="K110" t="str">
        <v/>
      </c>
      <c r="L110" t="str">
        <v/>
      </c>
      <c r="M110" t="str">
        <v/>
      </c>
      <c r="N110" t="str">
        <v/>
      </c>
      <c r="O110" t="str">
        <v/>
      </c>
      <c r="P110" t="str">
        <v/>
      </c>
      <c r="Q110" t="str">
        <v/>
      </c>
      <c r="R110" t="str">
        <v/>
      </c>
      <c r="S110" t="str">
        <v/>
      </c>
      <c r="T110" t="str">
        <v/>
      </c>
      <c r="U110" t="str">
        <v/>
      </c>
      <c r="V110" t="str">
        <v/>
      </c>
      <c r="W110" t="str">
        <v/>
      </c>
      <c r="X110" t="str">
        <v/>
      </c>
      <c r="Y110" t="str">
        <v/>
      </c>
      <c r="Z110" t="str">
        <v/>
      </c>
      <c r="AA110" t="str">
        <v/>
      </c>
      <c r="AB110" t="str">
        <v/>
      </c>
      <c r="AC110" t="str">
        <v/>
      </c>
      <c r="AD110" t="str">
        <v/>
      </c>
      <c r="AE110" t="str">
        <v/>
      </c>
      <c r="AF110" t="str">
        <v/>
      </c>
      <c r="AG110" t="str">
        <v/>
      </c>
      <c r="AH110" t="str">
        <v/>
      </c>
      <c r="AI110" t="str">
        <v/>
      </c>
      <c r="AJ110" t="str">
        <v/>
      </c>
      <c r="AK110" t="str">
        <v/>
      </c>
      <c r="AL110" t="str">
        <v/>
      </c>
    </row>
    <row r="111" spans="8:38" x14ac:dyDescent="0.3">
      <c r="H111" t="str">
        <v/>
      </c>
      <c r="I111" t="str">
        <v/>
      </c>
      <c r="J111" t="str">
        <v/>
      </c>
      <c r="K111" t="str">
        <v/>
      </c>
      <c r="L111" t="str">
        <v/>
      </c>
      <c r="M111" t="str">
        <v/>
      </c>
      <c r="N111" t="str">
        <v/>
      </c>
      <c r="O111" t="str">
        <v/>
      </c>
      <c r="P111" t="str">
        <v/>
      </c>
      <c r="Q111" t="str">
        <v/>
      </c>
      <c r="R111" t="str">
        <v/>
      </c>
      <c r="S111" t="str">
        <v/>
      </c>
      <c r="T111" t="str">
        <v/>
      </c>
      <c r="U111" t="str">
        <v/>
      </c>
      <c r="V111" t="str">
        <v/>
      </c>
      <c r="W111" t="str">
        <v/>
      </c>
      <c r="X111" t="str">
        <v/>
      </c>
      <c r="Y111" t="str">
        <v/>
      </c>
      <c r="Z111" t="str">
        <v/>
      </c>
      <c r="AA111" t="str">
        <v/>
      </c>
      <c r="AB111" t="str">
        <v/>
      </c>
      <c r="AC111" t="str">
        <v/>
      </c>
      <c r="AD111" t="str">
        <v/>
      </c>
      <c r="AE111" t="str">
        <v/>
      </c>
      <c r="AF111" t="str">
        <v/>
      </c>
      <c r="AG111" t="str">
        <v/>
      </c>
      <c r="AH111" t="str">
        <v/>
      </c>
      <c r="AI111" t="str">
        <v/>
      </c>
      <c r="AJ111" t="str">
        <v/>
      </c>
      <c r="AK111" t="str">
        <v/>
      </c>
      <c r="AL111" t="str">
        <v/>
      </c>
    </row>
    <row r="112" spans="8:38" x14ac:dyDescent="0.3">
      <c r="H112" t="str">
        <v/>
      </c>
      <c r="I112" t="str">
        <v/>
      </c>
      <c r="J112" t="str">
        <v/>
      </c>
      <c r="K112" t="str">
        <v/>
      </c>
      <c r="L112" t="str">
        <v/>
      </c>
      <c r="M112" t="str">
        <v/>
      </c>
      <c r="N112" t="str">
        <v/>
      </c>
      <c r="O112" t="str">
        <v/>
      </c>
      <c r="P112" t="str">
        <v/>
      </c>
      <c r="Q112" t="str">
        <v/>
      </c>
      <c r="R112" t="str">
        <v/>
      </c>
      <c r="S112" t="str">
        <v/>
      </c>
      <c r="T112" t="str">
        <v/>
      </c>
      <c r="U112" t="str">
        <v/>
      </c>
      <c r="V112" t="str">
        <v/>
      </c>
      <c r="W112" t="str">
        <v/>
      </c>
      <c r="X112" t="str">
        <v/>
      </c>
      <c r="Y112" t="str">
        <v/>
      </c>
      <c r="Z112" t="str">
        <v/>
      </c>
      <c r="AA112" t="str">
        <v/>
      </c>
      <c r="AB112" t="str">
        <v/>
      </c>
      <c r="AC112" t="str">
        <v/>
      </c>
      <c r="AD112" t="str">
        <v/>
      </c>
      <c r="AE112" t="str">
        <v/>
      </c>
      <c r="AF112" t="str">
        <v/>
      </c>
      <c r="AG112" t="str">
        <v/>
      </c>
      <c r="AH112" t="str">
        <v/>
      </c>
      <c r="AI112" t="str">
        <v/>
      </c>
      <c r="AJ112" t="str">
        <v/>
      </c>
      <c r="AK112" t="str">
        <v/>
      </c>
      <c r="AL112" t="str">
        <v/>
      </c>
    </row>
    <row r="113" spans="8:38" x14ac:dyDescent="0.3">
      <c r="H113" t="str">
        <v/>
      </c>
      <c r="I113" t="str">
        <v/>
      </c>
      <c r="J113" t="str">
        <v/>
      </c>
      <c r="K113" t="str">
        <v/>
      </c>
      <c r="L113" t="str">
        <v/>
      </c>
      <c r="M113" t="str">
        <v/>
      </c>
      <c r="N113" t="str">
        <v/>
      </c>
      <c r="O113" t="str">
        <v/>
      </c>
      <c r="P113" t="str">
        <v/>
      </c>
      <c r="Q113" t="str">
        <v/>
      </c>
      <c r="R113" t="str">
        <v/>
      </c>
      <c r="S113" t="str">
        <v/>
      </c>
      <c r="T113" t="str">
        <v/>
      </c>
      <c r="U113" t="str">
        <v/>
      </c>
      <c r="V113" t="str">
        <v/>
      </c>
      <c r="W113" t="str">
        <v/>
      </c>
      <c r="X113" t="str">
        <v/>
      </c>
      <c r="Y113" t="str">
        <v/>
      </c>
      <c r="Z113" t="str">
        <v/>
      </c>
      <c r="AA113" t="str">
        <v/>
      </c>
      <c r="AB113" t="str">
        <v/>
      </c>
      <c r="AC113" t="str">
        <v/>
      </c>
      <c r="AD113" t="str">
        <v/>
      </c>
      <c r="AE113" t="str">
        <v/>
      </c>
      <c r="AF113" t="str">
        <v/>
      </c>
      <c r="AG113" t="str">
        <v/>
      </c>
      <c r="AH113" t="str">
        <v/>
      </c>
      <c r="AI113" t="str">
        <v/>
      </c>
      <c r="AJ113" t="str">
        <v/>
      </c>
      <c r="AK113" t="str">
        <v/>
      </c>
      <c r="AL113" t="str">
        <v/>
      </c>
    </row>
    <row r="114" spans="8:38" x14ac:dyDescent="0.3">
      <c r="H114" t="str">
        <v/>
      </c>
      <c r="I114" t="str">
        <v/>
      </c>
      <c r="J114" t="str">
        <v/>
      </c>
      <c r="K114" t="str">
        <v/>
      </c>
      <c r="L114" t="str">
        <v/>
      </c>
      <c r="M114" t="str">
        <v/>
      </c>
      <c r="N114" t="str">
        <v/>
      </c>
      <c r="O114" t="str">
        <v/>
      </c>
      <c r="P114" t="str">
        <v/>
      </c>
      <c r="Q114" t="str">
        <v/>
      </c>
      <c r="R114" t="str">
        <v/>
      </c>
      <c r="S114" t="str">
        <v/>
      </c>
      <c r="T114" t="str">
        <v/>
      </c>
      <c r="U114" t="str">
        <v/>
      </c>
      <c r="V114" t="str">
        <v/>
      </c>
      <c r="W114" t="str">
        <v/>
      </c>
      <c r="X114" t="str">
        <v/>
      </c>
      <c r="Y114" t="str">
        <v/>
      </c>
      <c r="Z114" t="str">
        <v/>
      </c>
      <c r="AA114" t="str">
        <v/>
      </c>
      <c r="AB114" t="str">
        <v/>
      </c>
      <c r="AC114" t="str">
        <v/>
      </c>
      <c r="AD114" t="str">
        <v/>
      </c>
      <c r="AE114" t="str">
        <v/>
      </c>
      <c r="AF114" t="str">
        <v/>
      </c>
      <c r="AG114" t="str">
        <v/>
      </c>
      <c r="AH114" t="str">
        <v/>
      </c>
      <c r="AI114" t="str">
        <v/>
      </c>
      <c r="AJ114" t="str">
        <v/>
      </c>
      <c r="AK114" t="str">
        <v/>
      </c>
      <c r="AL114" t="str">
        <v/>
      </c>
    </row>
    <row r="115" spans="8:38" x14ac:dyDescent="0.3">
      <c r="H115" t="str">
        <v/>
      </c>
      <c r="I115" t="str">
        <v/>
      </c>
      <c r="J115" t="str">
        <v/>
      </c>
      <c r="K115" t="str">
        <v/>
      </c>
      <c r="L115" t="str">
        <v/>
      </c>
      <c r="M115" t="str">
        <v/>
      </c>
      <c r="N115" t="str">
        <v/>
      </c>
      <c r="O115" t="str">
        <v/>
      </c>
      <c r="P115" t="str">
        <v/>
      </c>
      <c r="Q115" t="str">
        <v/>
      </c>
      <c r="R115" t="str">
        <v/>
      </c>
      <c r="S115" t="str">
        <v/>
      </c>
      <c r="T115" t="str">
        <v/>
      </c>
      <c r="U115" t="str">
        <v/>
      </c>
      <c r="V115" t="str">
        <v/>
      </c>
      <c r="W115" t="str">
        <v/>
      </c>
      <c r="X115" t="str">
        <v/>
      </c>
      <c r="Y115" t="str">
        <v/>
      </c>
      <c r="Z115" t="str">
        <v/>
      </c>
      <c r="AA115" t="str">
        <v/>
      </c>
      <c r="AB115" t="str">
        <v/>
      </c>
      <c r="AC115" t="str">
        <v/>
      </c>
      <c r="AD115" t="str">
        <v/>
      </c>
      <c r="AE115" t="str">
        <v/>
      </c>
      <c r="AF115" t="str">
        <v/>
      </c>
      <c r="AG115" t="str">
        <v/>
      </c>
      <c r="AH115" t="str">
        <v/>
      </c>
      <c r="AI115" t="str">
        <v/>
      </c>
      <c r="AJ115" t="str">
        <v/>
      </c>
      <c r="AK115" t="str">
        <v/>
      </c>
      <c r="AL115" t="str">
        <v/>
      </c>
    </row>
    <row r="116" spans="8:38" x14ac:dyDescent="0.3">
      <c r="H116" t="str">
        <v/>
      </c>
      <c r="I116" t="str">
        <v/>
      </c>
      <c r="J116" t="str">
        <v/>
      </c>
      <c r="K116" t="str">
        <v/>
      </c>
      <c r="L116" t="str">
        <v/>
      </c>
      <c r="M116" t="str">
        <v/>
      </c>
      <c r="N116" t="str">
        <v/>
      </c>
      <c r="O116" t="str">
        <v/>
      </c>
      <c r="P116" t="str">
        <v/>
      </c>
      <c r="Q116" t="str">
        <v/>
      </c>
      <c r="R116" t="str">
        <v/>
      </c>
      <c r="S116" t="str">
        <v/>
      </c>
      <c r="T116" t="str">
        <v/>
      </c>
      <c r="U116" t="str">
        <v/>
      </c>
      <c r="V116" t="str">
        <v/>
      </c>
      <c r="W116" t="str">
        <v/>
      </c>
      <c r="X116" t="str">
        <v/>
      </c>
      <c r="Y116" t="str">
        <v/>
      </c>
      <c r="Z116" t="str">
        <v/>
      </c>
      <c r="AA116" t="str">
        <v/>
      </c>
      <c r="AB116" t="str">
        <v/>
      </c>
      <c r="AC116" t="str">
        <v/>
      </c>
      <c r="AD116" t="str">
        <v/>
      </c>
      <c r="AE116" t="str">
        <v/>
      </c>
      <c r="AF116" t="str">
        <v/>
      </c>
      <c r="AG116" t="str">
        <v/>
      </c>
      <c r="AH116" t="str">
        <v/>
      </c>
      <c r="AI116" t="str">
        <v/>
      </c>
      <c r="AJ116" t="str">
        <v/>
      </c>
      <c r="AK116" t="str">
        <v/>
      </c>
      <c r="AL116" t="str">
        <v/>
      </c>
    </row>
    <row r="117" spans="8:38" x14ac:dyDescent="0.3">
      <c r="H117" t="str">
        <v/>
      </c>
      <c r="I117" t="str">
        <v/>
      </c>
      <c r="J117" t="str">
        <v/>
      </c>
      <c r="K117" t="str">
        <v/>
      </c>
      <c r="L117" t="str">
        <v/>
      </c>
      <c r="M117" t="str">
        <v/>
      </c>
      <c r="N117" t="str">
        <v/>
      </c>
      <c r="O117" t="str">
        <v/>
      </c>
      <c r="P117" t="str">
        <v/>
      </c>
      <c r="Q117" t="str">
        <v/>
      </c>
      <c r="R117" t="str">
        <v/>
      </c>
      <c r="S117" t="str">
        <v/>
      </c>
      <c r="T117" t="str">
        <v/>
      </c>
      <c r="U117" t="str">
        <v/>
      </c>
      <c r="V117" t="str">
        <v/>
      </c>
      <c r="W117" t="str">
        <v/>
      </c>
      <c r="X117" t="str">
        <v/>
      </c>
      <c r="Y117" t="str">
        <v/>
      </c>
      <c r="Z117" t="str">
        <v/>
      </c>
      <c r="AA117" t="str">
        <v/>
      </c>
      <c r="AB117" t="str">
        <v/>
      </c>
      <c r="AC117" t="str">
        <v/>
      </c>
      <c r="AD117" t="str">
        <v/>
      </c>
      <c r="AE117" t="str">
        <v/>
      </c>
      <c r="AF117" t="str">
        <v/>
      </c>
      <c r="AG117" t="str">
        <v/>
      </c>
      <c r="AH117" t="str">
        <v/>
      </c>
      <c r="AI117" t="str">
        <v/>
      </c>
      <c r="AJ117" t="str">
        <v/>
      </c>
      <c r="AK117" t="str">
        <v/>
      </c>
      <c r="AL117" t="str">
        <v/>
      </c>
    </row>
    <row r="118" spans="8:38" x14ac:dyDescent="0.3">
      <c r="H118" t="str">
        <v/>
      </c>
      <c r="I118" t="str">
        <v/>
      </c>
      <c r="J118" t="str">
        <v/>
      </c>
      <c r="K118" t="str">
        <v/>
      </c>
      <c r="L118" t="str">
        <v/>
      </c>
      <c r="M118" t="str">
        <v/>
      </c>
      <c r="N118" t="str">
        <v/>
      </c>
      <c r="O118" t="str">
        <v/>
      </c>
      <c r="P118" t="str">
        <v/>
      </c>
      <c r="Q118" t="str">
        <v/>
      </c>
      <c r="R118" t="str">
        <v/>
      </c>
      <c r="S118" t="str">
        <v/>
      </c>
      <c r="T118" t="str">
        <v/>
      </c>
      <c r="U118" t="str">
        <v/>
      </c>
      <c r="V118" t="str">
        <v/>
      </c>
      <c r="W118" t="str">
        <v/>
      </c>
      <c r="X118" t="str">
        <v/>
      </c>
      <c r="Y118" t="str">
        <v/>
      </c>
      <c r="Z118" t="str">
        <v/>
      </c>
      <c r="AA118" t="str">
        <v/>
      </c>
      <c r="AB118" t="str">
        <v/>
      </c>
      <c r="AC118" t="str">
        <v/>
      </c>
      <c r="AD118" t="str">
        <v/>
      </c>
      <c r="AE118" t="str">
        <v/>
      </c>
      <c r="AF118" t="str">
        <v/>
      </c>
      <c r="AG118" t="str">
        <v/>
      </c>
      <c r="AH118" t="str">
        <v/>
      </c>
      <c r="AI118" t="str">
        <v/>
      </c>
      <c r="AJ118" t="str">
        <v/>
      </c>
      <c r="AK118" t="str">
        <v/>
      </c>
      <c r="AL118" t="str">
        <v/>
      </c>
    </row>
    <row r="119" spans="8:38" x14ac:dyDescent="0.3">
      <c r="H119" t="str">
        <v/>
      </c>
      <c r="I119" t="str">
        <v/>
      </c>
      <c r="J119" t="str">
        <v/>
      </c>
      <c r="K119" t="str">
        <v/>
      </c>
      <c r="L119" t="str">
        <v/>
      </c>
      <c r="M119" t="str">
        <v/>
      </c>
      <c r="N119" t="str">
        <v/>
      </c>
      <c r="O119" t="str">
        <v/>
      </c>
      <c r="P119" t="str">
        <v/>
      </c>
      <c r="Q119" t="str">
        <v/>
      </c>
      <c r="R119" t="str">
        <v/>
      </c>
      <c r="S119" t="str">
        <v/>
      </c>
      <c r="T119" t="str">
        <v/>
      </c>
      <c r="U119" t="str">
        <v/>
      </c>
      <c r="V119" t="str">
        <v/>
      </c>
      <c r="W119" t="str">
        <v/>
      </c>
      <c r="X119" t="str">
        <v/>
      </c>
      <c r="Y119" t="str">
        <v/>
      </c>
      <c r="Z119" t="str">
        <v/>
      </c>
      <c r="AA119" t="str">
        <v/>
      </c>
      <c r="AB119" t="str">
        <v/>
      </c>
      <c r="AC119" t="str">
        <v/>
      </c>
      <c r="AD119" t="str">
        <v/>
      </c>
      <c r="AE119" t="str">
        <v/>
      </c>
      <c r="AF119" t="str">
        <v/>
      </c>
      <c r="AG119" t="str">
        <v/>
      </c>
      <c r="AH119" t="str">
        <v/>
      </c>
      <c r="AI119" t="str">
        <v/>
      </c>
      <c r="AJ119" t="str">
        <v/>
      </c>
      <c r="AK119" t="str">
        <v/>
      </c>
      <c r="AL119" t="str">
        <v/>
      </c>
    </row>
    <row r="120" spans="8:38" x14ac:dyDescent="0.3">
      <c r="H120" t="str">
        <v/>
      </c>
      <c r="I120" t="str">
        <v/>
      </c>
      <c r="J120" t="str">
        <v/>
      </c>
      <c r="K120" t="str">
        <v/>
      </c>
      <c r="L120" t="str">
        <v/>
      </c>
      <c r="M120" t="str">
        <v/>
      </c>
      <c r="N120" t="str">
        <v/>
      </c>
      <c r="O120" t="str">
        <v/>
      </c>
      <c r="P120" t="str">
        <v/>
      </c>
      <c r="Q120" t="str">
        <v/>
      </c>
      <c r="R120" t="str">
        <v/>
      </c>
      <c r="S120" t="str">
        <v/>
      </c>
      <c r="T120" t="str">
        <v/>
      </c>
      <c r="U120" t="str">
        <v/>
      </c>
      <c r="V120" t="str">
        <v/>
      </c>
      <c r="W120" t="str">
        <v/>
      </c>
      <c r="X120" t="str">
        <v/>
      </c>
      <c r="Y120" t="str">
        <v/>
      </c>
      <c r="Z120" t="str">
        <v/>
      </c>
      <c r="AA120" t="str">
        <v/>
      </c>
      <c r="AB120" t="str">
        <v/>
      </c>
      <c r="AC120" t="str">
        <v/>
      </c>
      <c r="AD120" t="str">
        <v/>
      </c>
      <c r="AE120" t="str">
        <v/>
      </c>
      <c r="AF120" t="str">
        <v/>
      </c>
      <c r="AG120" t="str">
        <v/>
      </c>
      <c r="AH120" t="str">
        <v/>
      </c>
      <c r="AI120" t="str">
        <v/>
      </c>
      <c r="AJ120" t="str">
        <v/>
      </c>
      <c r="AK120" t="str">
        <v/>
      </c>
      <c r="AL120" t="str">
        <v/>
      </c>
    </row>
    <row r="121" spans="8:38" x14ac:dyDescent="0.3">
      <c r="H121" t="str">
        <v/>
      </c>
      <c r="I121" t="str">
        <v/>
      </c>
      <c r="J121" t="str">
        <v/>
      </c>
      <c r="K121" t="str">
        <v/>
      </c>
      <c r="L121" t="str">
        <v/>
      </c>
      <c r="M121" t="str">
        <v/>
      </c>
      <c r="N121" t="str">
        <v/>
      </c>
      <c r="O121" t="str">
        <v/>
      </c>
      <c r="P121" t="str">
        <v/>
      </c>
      <c r="Q121" t="str">
        <v/>
      </c>
      <c r="R121" t="str">
        <v/>
      </c>
      <c r="S121" t="str">
        <v/>
      </c>
      <c r="T121" t="str">
        <v/>
      </c>
      <c r="U121" t="str">
        <v/>
      </c>
      <c r="V121" t="str">
        <v/>
      </c>
      <c r="W121" t="str">
        <v/>
      </c>
      <c r="X121" t="str">
        <v/>
      </c>
      <c r="Y121" t="str">
        <v/>
      </c>
      <c r="Z121" t="str">
        <v/>
      </c>
      <c r="AA121" t="str">
        <v/>
      </c>
      <c r="AB121" t="str">
        <v/>
      </c>
      <c r="AC121" t="str">
        <v/>
      </c>
      <c r="AD121" t="str">
        <v/>
      </c>
      <c r="AE121" t="str">
        <v/>
      </c>
      <c r="AF121" t="str">
        <v/>
      </c>
      <c r="AG121" t="str">
        <v/>
      </c>
      <c r="AH121" t="str">
        <v/>
      </c>
      <c r="AI121" t="str">
        <v/>
      </c>
      <c r="AJ121" t="str">
        <v/>
      </c>
      <c r="AK121" t="str">
        <v/>
      </c>
      <c r="AL121" t="str">
        <v/>
      </c>
    </row>
    <row r="122" spans="8:38" x14ac:dyDescent="0.3">
      <c r="H122" t="str">
        <v/>
      </c>
      <c r="I122" t="str">
        <v/>
      </c>
      <c r="J122" t="str">
        <v/>
      </c>
      <c r="K122" t="str">
        <v/>
      </c>
      <c r="L122" t="str">
        <v/>
      </c>
      <c r="M122" t="str">
        <v/>
      </c>
      <c r="N122" t="str">
        <v/>
      </c>
      <c r="O122" t="str">
        <v/>
      </c>
      <c r="P122" t="str">
        <v/>
      </c>
      <c r="Q122" t="str">
        <v/>
      </c>
      <c r="R122" t="str">
        <v/>
      </c>
      <c r="S122" t="str">
        <v/>
      </c>
      <c r="T122" t="str">
        <v/>
      </c>
      <c r="U122" t="str">
        <v/>
      </c>
      <c r="V122" t="str">
        <v/>
      </c>
      <c r="W122" t="str">
        <v/>
      </c>
      <c r="X122" t="str">
        <v/>
      </c>
      <c r="Y122" t="str">
        <v/>
      </c>
      <c r="Z122" t="str">
        <v/>
      </c>
      <c r="AA122" t="str">
        <v/>
      </c>
      <c r="AB122" t="str">
        <v/>
      </c>
      <c r="AC122" t="str">
        <v/>
      </c>
      <c r="AD122" t="str">
        <v/>
      </c>
      <c r="AE122" t="str">
        <v/>
      </c>
      <c r="AF122" t="str">
        <v/>
      </c>
      <c r="AG122" t="str">
        <v/>
      </c>
      <c r="AH122" t="str">
        <v/>
      </c>
      <c r="AI122" t="str">
        <v/>
      </c>
      <c r="AJ122" t="str">
        <v/>
      </c>
      <c r="AK122" t="str">
        <v/>
      </c>
      <c r="AL122" t="str">
        <v/>
      </c>
    </row>
    <row r="123" spans="8:38" x14ac:dyDescent="0.3">
      <c r="H123" t="str">
        <v/>
      </c>
      <c r="I123" t="str">
        <v/>
      </c>
      <c r="J123" t="str">
        <v/>
      </c>
      <c r="K123" t="str">
        <v/>
      </c>
      <c r="L123" t="str">
        <v/>
      </c>
      <c r="M123" t="str">
        <v/>
      </c>
      <c r="N123" t="str">
        <v/>
      </c>
      <c r="O123" t="str">
        <v/>
      </c>
      <c r="P123" t="str">
        <v/>
      </c>
      <c r="Q123" t="str">
        <v/>
      </c>
      <c r="R123" t="str">
        <v/>
      </c>
      <c r="S123" t="str">
        <v/>
      </c>
      <c r="T123" t="str">
        <v/>
      </c>
      <c r="U123" t="str">
        <v/>
      </c>
      <c r="V123" t="str">
        <v/>
      </c>
      <c r="W123" t="str">
        <v/>
      </c>
      <c r="X123" t="str">
        <v/>
      </c>
      <c r="Y123" t="str">
        <v/>
      </c>
      <c r="Z123" t="str">
        <v/>
      </c>
      <c r="AA123" t="str">
        <v/>
      </c>
      <c r="AB123" t="str">
        <v/>
      </c>
      <c r="AC123" t="str">
        <v/>
      </c>
      <c r="AD123" t="str">
        <v/>
      </c>
      <c r="AE123" t="str">
        <v/>
      </c>
      <c r="AF123" t="str">
        <v/>
      </c>
      <c r="AG123" t="str">
        <v/>
      </c>
      <c r="AH123" t="str">
        <v/>
      </c>
      <c r="AI123" t="str">
        <v/>
      </c>
      <c r="AJ123" t="str">
        <v/>
      </c>
      <c r="AK123" t="str">
        <v/>
      </c>
      <c r="AL123" t="str">
        <v/>
      </c>
    </row>
    <row r="124" spans="8:38" x14ac:dyDescent="0.3">
      <c r="H124" t="str">
        <v/>
      </c>
      <c r="I124" t="str">
        <v/>
      </c>
      <c r="J124" t="str">
        <v/>
      </c>
      <c r="K124" t="str">
        <v/>
      </c>
      <c r="L124" t="str">
        <v/>
      </c>
      <c r="M124" t="str">
        <v/>
      </c>
      <c r="N124" t="str">
        <v/>
      </c>
      <c r="O124" t="str">
        <v/>
      </c>
      <c r="P124" t="str">
        <v/>
      </c>
      <c r="Q124" t="str">
        <v/>
      </c>
      <c r="R124" t="str">
        <v/>
      </c>
      <c r="S124" t="str">
        <v/>
      </c>
      <c r="T124" t="str">
        <v/>
      </c>
      <c r="U124" t="str">
        <v/>
      </c>
      <c r="V124" t="str">
        <v/>
      </c>
      <c r="W124" t="str">
        <v/>
      </c>
      <c r="X124" t="str">
        <v/>
      </c>
      <c r="Y124" t="str">
        <v/>
      </c>
      <c r="Z124" t="str">
        <v/>
      </c>
      <c r="AA124" t="str">
        <v/>
      </c>
      <c r="AB124" t="str">
        <v/>
      </c>
      <c r="AC124" t="str">
        <v/>
      </c>
      <c r="AD124" t="str">
        <v/>
      </c>
      <c r="AE124" t="str">
        <v/>
      </c>
      <c r="AF124" t="str">
        <v/>
      </c>
      <c r="AG124" t="str">
        <v/>
      </c>
      <c r="AH124" t="str">
        <v/>
      </c>
      <c r="AI124" t="str">
        <v/>
      </c>
      <c r="AJ124" t="str">
        <v/>
      </c>
      <c r="AK124" t="str">
        <v/>
      </c>
      <c r="AL124" t="str">
        <v/>
      </c>
    </row>
    <row r="125" spans="8:38" x14ac:dyDescent="0.3">
      <c r="H125" t="str">
        <v/>
      </c>
      <c r="I125" t="str">
        <v/>
      </c>
      <c r="J125" t="str">
        <v/>
      </c>
      <c r="K125" t="str">
        <v/>
      </c>
      <c r="L125" t="str">
        <v/>
      </c>
      <c r="M125" t="str">
        <v/>
      </c>
      <c r="N125" t="str">
        <v/>
      </c>
      <c r="O125" t="str">
        <v/>
      </c>
      <c r="P125" t="str">
        <v/>
      </c>
      <c r="Q125" t="str">
        <v/>
      </c>
      <c r="R125" t="str">
        <v/>
      </c>
      <c r="S125" t="str">
        <v/>
      </c>
      <c r="T125" t="str">
        <v/>
      </c>
      <c r="U125" t="str">
        <v/>
      </c>
      <c r="V125" t="str">
        <v/>
      </c>
      <c r="W125" t="str">
        <v/>
      </c>
      <c r="X125" t="str">
        <v/>
      </c>
      <c r="Y125" t="str">
        <v/>
      </c>
      <c r="Z125" t="str">
        <v/>
      </c>
      <c r="AA125" t="str">
        <v/>
      </c>
      <c r="AB125" t="str">
        <v/>
      </c>
      <c r="AC125" t="str">
        <v/>
      </c>
      <c r="AD125" t="str">
        <v/>
      </c>
      <c r="AE125" t="str">
        <v/>
      </c>
      <c r="AF125" t="str">
        <v/>
      </c>
      <c r="AG125" t="str">
        <v/>
      </c>
      <c r="AH125" t="str">
        <v/>
      </c>
      <c r="AI125" t="str">
        <v/>
      </c>
      <c r="AJ125" t="str">
        <v/>
      </c>
      <c r="AK125" t="str">
        <v/>
      </c>
      <c r="AL125" t="str">
        <v/>
      </c>
    </row>
    <row r="126" spans="8:38" x14ac:dyDescent="0.3">
      <c r="H126" t="str">
        <v/>
      </c>
      <c r="I126" t="str">
        <v/>
      </c>
      <c r="J126" t="str">
        <v/>
      </c>
      <c r="K126" t="str">
        <v/>
      </c>
      <c r="L126" t="str">
        <v/>
      </c>
      <c r="M126" t="str">
        <v/>
      </c>
      <c r="N126" t="str">
        <v/>
      </c>
      <c r="O126" t="str">
        <v/>
      </c>
      <c r="P126" t="str">
        <v/>
      </c>
      <c r="Q126" t="str">
        <v/>
      </c>
      <c r="R126" t="str">
        <v/>
      </c>
      <c r="S126" t="str">
        <v/>
      </c>
      <c r="T126" t="str">
        <v/>
      </c>
      <c r="U126" t="str">
        <v/>
      </c>
      <c r="V126" t="str">
        <v/>
      </c>
      <c r="W126" t="str">
        <v/>
      </c>
      <c r="X126" t="str">
        <v/>
      </c>
      <c r="Y126" t="str">
        <v/>
      </c>
      <c r="Z126" t="str">
        <v/>
      </c>
      <c r="AA126" t="str">
        <v/>
      </c>
      <c r="AB126" t="str">
        <v/>
      </c>
      <c r="AC126" t="str">
        <v/>
      </c>
      <c r="AD126" t="str">
        <v/>
      </c>
      <c r="AE126" t="str">
        <v/>
      </c>
      <c r="AF126" t="str">
        <v/>
      </c>
      <c r="AG126" t="str">
        <v/>
      </c>
      <c r="AH126" t="str">
        <v/>
      </c>
      <c r="AI126" t="str">
        <v/>
      </c>
      <c r="AJ126" t="str">
        <v/>
      </c>
      <c r="AK126" t="str">
        <v/>
      </c>
      <c r="AL126" t="str">
        <v/>
      </c>
    </row>
    <row r="127" spans="8:38" x14ac:dyDescent="0.3">
      <c r="H127" t="str">
        <v/>
      </c>
      <c r="I127" t="str">
        <v/>
      </c>
      <c r="J127" t="str">
        <v/>
      </c>
      <c r="K127" t="str">
        <v/>
      </c>
      <c r="L127" t="str">
        <v/>
      </c>
      <c r="M127" t="str">
        <v/>
      </c>
      <c r="N127" t="str">
        <v/>
      </c>
      <c r="O127" t="str">
        <v/>
      </c>
      <c r="P127" t="str">
        <v/>
      </c>
      <c r="Q127" t="str">
        <v/>
      </c>
      <c r="R127" t="str">
        <v/>
      </c>
      <c r="S127" t="str">
        <v/>
      </c>
      <c r="T127" t="str">
        <v/>
      </c>
      <c r="U127" t="str">
        <v/>
      </c>
      <c r="V127" t="str">
        <v/>
      </c>
      <c r="W127" t="str">
        <v/>
      </c>
      <c r="X127" t="str">
        <v/>
      </c>
      <c r="Y127" t="str">
        <v/>
      </c>
      <c r="Z127" t="str">
        <v/>
      </c>
      <c r="AA127" t="str">
        <v/>
      </c>
      <c r="AB127" t="str">
        <v/>
      </c>
      <c r="AC127" t="str">
        <v/>
      </c>
      <c r="AD127" t="str">
        <v/>
      </c>
      <c r="AE127" t="str">
        <v/>
      </c>
      <c r="AF127" t="str">
        <v/>
      </c>
      <c r="AG127" t="str">
        <v/>
      </c>
      <c r="AH127" t="str">
        <v/>
      </c>
      <c r="AI127" t="str">
        <v/>
      </c>
      <c r="AJ127" t="str">
        <v/>
      </c>
      <c r="AK127" t="str">
        <v/>
      </c>
      <c r="AL127" t="str">
        <v/>
      </c>
    </row>
    <row r="128" spans="8:38" x14ac:dyDescent="0.3">
      <c r="H128" t="str">
        <v/>
      </c>
      <c r="I128" t="str">
        <v/>
      </c>
      <c r="J128" t="str">
        <v/>
      </c>
      <c r="K128" t="str">
        <v/>
      </c>
      <c r="L128" t="str">
        <v/>
      </c>
      <c r="M128" t="str">
        <v/>
      </c>
      <c r="N128" t="str">
        <v/>
      </c>
      <c r="O128" t="str">
        <v/>
      </c>
      <c r="P128" t="str">
        <v/>
      </c>
      <c r="Q128" t="str">
        <v/>
      </c>
      <c r="R128" t="str">
        <v/>
      </c>
      <c r="S128" t="str">
        <v/>
      </c>
      <c r="T128" t="str">
        <v/>
      </c>
      <c r="U128" t="str">
        <v/>
      </c>
      <c r="V128" t="str">
        <v/>
      </c>
      <c r="W128" t="str">
        <v/>
      </c>
      <c r="X128" t="str">
        <v/>
      </c>
      <c r="Y128" t="str">
        <v/>
      </c>
      <c r="Z128" t="str">
        <v/>
      </c>
      <c r="AA128" t="str">
        <v/>
      </c>
      <c r="AB128" t="str">
        <v/>
      </c>
      <c r="AC128" t="str">
        <v/>
      </c>
      <c r="AD128" t="str">
        <v/>
      </c>
      <c r="AE128" t="str">
        <v/>
      </c>
      <c r="AF128" t="str">
        <v/>
      </c>
      <c r="AG128" t="str">
        <v/>
      </c>
      <c r="AH128" t="str">
        <v/>
      </c>
      <c r="AI128" t="str">
        <v/>
      </c>
      <c r="AJ128" t="str">
        <v/>
      </c>
      <c r="AK128" t="str">
        <v/>
      </c>
      <c r="AL128" t="str">
        <v/>
      </c>
    </row>
    <row r="129" spans="8:38" x14ac:dyDescent="0.3">
      <c r="H129" t="str">
        <v/>
      </c>
      <c r="I129" t="str">
        <v/>
      </c>
      <c r="J129" t="str">
        <v/>
      </c>
      <c r="K129" t="str">
        <v/>
      </c>
      <c r="L129" t="str">
        <v/>
      </c>
      <c r="M129" t="str">
        <v/>
      </c>
      <c r="N129" t="str">
        <v/>
      </c>
      <c r="O129" t="str">
        <v/>
      </c>
      <c r="P129" t="str">
        <v/>
      </c>
      <c r="Q129" t="str">
        <v/>
      </c>
      <c r="R129" t="str">
        <v/>
      </c>
      <c r="S129" t="str">
        <v/>
      </c>
      <c r="T129" t="str">
        <v/>
      </c>
      <c r="U129" t="str">
        <v/>
      </c>
      <c r="V129" t="str">
        <v/>
      </c>
      <c r="W129" t="str">
        <v/>
      </c>
      <c r="X129" t="str">
        <v/>
      </c>
      <c r="Y129" t="str">
        <v/>
      </c>
      <c r="Z129" t="str">
        <v/>
      </c>
      <c r="AA129" t="str">
        <v/>
      </c>
      <c r="AB129" t="str">
        <v/>
      </c>
      <c r="AC129" t="str">
        <v/>
      </c>
      <c r="AD129" t="str">
        <v/>
      </c>
      <c r="AE129" t="str">
        <v/>
      </c>
      <c r="AF129" t="str">
        <v/>
      </c>
      <c r="AG129" t="str">
        <v/>
      </c>
      <c r="AH129" t="str">
        <v/>
      </c>
      <c r="AI129" t="str">
        <v/>
      </c>
      <c r="AJ129" t="str">
        <v/>
      </c>
      <c r="AK129" t="str">
        <v/>
      </c>
      <c r="AL129" t="str">
        <v/>
      </c>
    </row>
    <row r="130" spans="8:38" x14ac:dyDescent="0.3">
      <c r="H130" t="str">
        <v/>
      </c>
      <c r="I130" t="str">
        <v/>
      </c>
      <c r="J130" t="str">
        <v/>
      </c>
      <c r="K130" t="str">
        <v/>
      </c>
      <c r="L130" t="str">
        <v/>
      </c>
      <c r="M130" t="str">
        <v/>
      </c>
      <c r="N130" t="str">
        <v/>
      </c>
      <c r="O130" t="str">
        <v/>
      </c>
      <c r="P130" t="str">
        <v/>
      </c>
      <c r="Q130" t="str">
        <v/>
      </c>
      <c r="R130" t="str">
        <v/>
      </c>
      <c r="S130" t="str">
        <v/>
      </c>
      <c r="T130" t="str">
        <v/>
      </c>
      <c r="U130" t="str">
        <v/>
      </c>
      <c r="V130" t="str">
        <v/>
      </c>
      <c r="W130" t="str">
        <v/>
      </c>
      <c r="X130" t="str">
        <v/>
      </c>
      <c r="Y130" t="str">
        <v/>
      </c>
      <c r="Z130" t="str">
        <v/>
      </c>
      <c r="AA130" t="str">
        <v/>
      </c>
      <c r="AB130" t="str">
        <v/>
      </c>
      <c r="AC130" t="str">
        <v/>
      </c>
      <c r="AD130" t="str">
        <v/>
      </c>
      <c r="AE130" t="str">
        <v/>
      </c>
      <c r="AF130" t="str">
        <v/>
      </c>
      <c r="AG130" t="str">
        <v/>
      </c>
      <c r="AH130" t="str">
        <v/>
      </c>
      <c r="AI130" t="str">
        <v/>
      </c>
      <c r="AJ130" t="str">
        <v/>
      </c>
      <c r="AK130" t="str">
        <v/>
      </c>
      <c r="AL130" t="str">
        <v/>
      </c>
    </row>
    <row r="131" spans="8:38" x14ac:dyDescent="0.3">
      <c r="H131" t="str">
        <v/>
      </c>
      <c r="I131" t="str">
        <v/>
      </c>
      <c r="J131" t="str">
        <v/>
      </c>
      <c r="K131" t="str">
        <v/>
      </c>
      <c r="L131" t="str">
        <v/>
      </c>
      <c r="M131" t="str">
        <v/>
      </c>
      <c r="N131" t="str">
        <v/>
      </c>
      <c r="O131" t="str">
        <v/>
      </c>
      <c r="P131" t="str">
        <v/>
      </c>
      <c r="Q131" t="str">
        <v/>
      </c>
      <c r="R131" t="str">
        <v/>
      </c>
      <c r="S131" t="str">
        <v/>
      </c>
      <c r="T131" t="str">
        <v/>
      </c>
      <c r="U131" t="str">
        <v/>
      </c>
      <c r="V131" t="str">
        <v/>
      </c>
      <c r="W131" t="str">
        <v/>
      </c>
      <c r="X131" t="str">
        <v/>
      </c>
      <c r="Y131" t="str">
        <v/>
      </c>
      <c r="Z131" t="str">
        <v/>
      </c>
      <c r="AA131" t="str">
        <v/>
      </c>
      <c r="AB131" t="str">
        <v/>
      </c>
      <c r="AC131" t="str">
        <v/>
      </c>
      <c r="AD131" t="str">
        <v/>
      </c>
      <c r="AE131" t="str">
        <v/>
      </c>
      <c r="AF131" t="str">
        <v/>
      </c>
      <c r="AG131" t="str">
        <v/>
      </c>
      <c r="AH131" t="str">
        <v/>
      </c>
      <c r="AI131" t="str">
        <v/>
      </c>
      <c r="AJ131" t="str">
        <v/>
      </c>
      <c r="AK131" t="str">
        <v/>
      </c>
      <c r="AL131" t="str">
        <v/>
      </c>
    </row>
    <row r="132" spans="8:38" x14ac:dyDescent="0.3">
      <c r="H132" t="str">
        <v/>
      </c>
      <c r="I132" t="str">
        <v/>
      </c>
      <c r="J132" t="str">
        <v/>
      </c>
      <c r="K132" t="str">
        <v/>
      </c>
      <c r="L132" t="str">
        <v/>
      </c>
      <c r="M132" t="str">
        <v/>
      </c>
      <c r="N132" t="str">
        <v/>
      </c>
      <c r="O132" t="str">
        <v/>
      </c>
      <c r="P132" t="str">
        <v/>
      </c>
      <c r="Q132" t="str">
        <v/>
      </c>
      <c r="R132" t="str">
        <v/>
      </c>
      <c r="S132" t="str">
        <v/>
      </c>
      <c r="T132" t="str">
        <v/>
      </c>
      <c r="U132" t="str">
        <v/>
      </c>
      <c r="V132" t="str">
        <v/>
      </c>
      <c r="W132" t="str">
        <v/>
      </c>
      <c r="X132" t="str">
        <v/>
      </c>
      <c r="Y132" t="str">
        <v/>
      </c>
      <c r="Z132" t="str">
        <v/>
      </c>
      <c r="AA132" t="str">
        <v/>
      </c>
      <c r="AB132" t="str">
        <v/>
      </c>
      <c r="AC132" t="str">
        <v/>
      </c>
      <c r="AD132" t="str">
        <v/>
      </c>
      <c r="AE132" t="str">
        <v/>
      </c>
      <c r="AF132" t="str">
        <v/>
      </c>
      <c r="AG132" t="str">
        <v/>
      </c>
      <c r="AH132" t="str">
        <v/>
      </c>
      <c r="AI132" t="str">
        <v/>
      </c>
      <c r="AJ132" t="str">
        <v/>
      </c>
      <c r="AK132" t="str">
        <v/>
      </c>
      <c r="AL132" t="str">
        <v/>
      </c>
    </row>
    <row r="133" spans="8:38" x14ac:dyDescent="0.3">
      <c r="H133" t="str">
        <v/>
      </c>
      <c r="I133" t="str">
        <v/>
      </c>
      <c r="J133" t="str">
        <v/>
      </c>
      <c r="K133" t="str">
        <v/>
      </c>
      <c r="L133" t="str">
        <v/>
      </c>
      <c r="M133" t="str">
        <v/>
      </c>
      <c r="N133" t="str">
        <v/>
      </c>
      <c r="O133" t="str">
        <v/>
      </c>
      <c r="P133" t="str">
        <v/>
      </c>
      <c r="Q133" t="str">
        <v/>
      </c>
      <c r="R133" t="str">
        <v/>
      </c>
      <c r="S133" t="str">
        <v/>
      </c>
      <c r="T133" t="str">
        <v/>
      </c>
      <c r="U133" t="str">
        <v/>
      </c>
      <c r="V133" t="str">
        <v/>
      </c>
      <c r="W133" t="str">
        <v/>
      </c>
      <c r="X133" t="str">
        <v/>
      </c>
      <c r="Y133" t="str">
        <v/>
      </c>
      <c r="Z133" t="str">
        <v/>
      </c>
      <c r="AA133" t="str">
        <v/>
      </c>
      <c r="AB133" t="str">
        <v/>
      </c>
      <c r="AC133" t="str">
        <v/>
      </c>
      <c r="AD133" t="str">
        <v/>
      </c>
      <c r="AE133" t="str">
        <v/>
      </c>
      <c r="AF133" t="str">
        <v/>
      </c>
      <c r="AG133" t="str">
        <v/>
      </c>
      <c r="AH133" t="str">
        <v/>
      </c>
      <c r="AI133" t="str">
        <v/>
      </c>
      <c r="AJ133" t="str">
        <v/>
      </c>
      <c r="AK133" t="str">
        <v/>
      </c>
      <c r="AL133" t="str">
        <v/>
      </c>
    </row>
    <row r="134" spans="8:38" x14ac:dyDescent="0.3">
      <c r="H134" t="str">
        <v/>
      </c>
      <c r="I134" t="str">
        <v/>
      </c>
      <c r="J134" t="str">
        <v/>
      </c>
      <c r="K134" t="str">
        <v/>
      </c>
      <c r="L134" t="str">
        <v/>
      </c>
      <c r="M134" t="str">
        <v/>
      </c>
      <c r="N134" t="str">
        <v/>
      </c>
      <c r="O134" t="str">
        <v/>
      </c>
      <c r="P134" t="str">
        <v/>
      </c>
      <c r="Q134" t="str">
        <v/>
      </c>
      <c r="R134" t="str">
        <v/>
      </c>
      <c r="S134" t="str">
        <v/>
      </c>
      <c r="T134" t="str">
        <v/>
      </c>
      <c r="U134" t="str">
        <v/>
      </c>
      <c r="V134" t="str">
        <v/>
      </c>
      <c r="W134" t="str">
        <v/>
      </c>
      <c r="X134" t="str">
        <v/>
      </c>
      <c r="Y134" t="str">
        <v/>
      </c>
      <c r="Z134" t="str">
        <v/>
      </c>
      <c r="AA134" t="str">
        <v/>
      </c>
      <c r="AB134" t="str">
        <v/>
      </c>
      <c r="AC134" t="str">
        <v/>
      </c>
      <c r="AD134" t="str">
        <v/>
      </c>
      <c r="AE134" t="str">
        <v/>
      </c>
      <c r="AF134" t="str">
        <v/>
      </c>
      <c r="AG134" t="str">
        <v/>
      </c>
      <c r="AH134" t="str">
        <v/>
      </c>
      <c r="AI134" t="str">
        <v/>
      </c>
      <c r="AJ134" t="str">
        <v/>
      </c>
      <c r="AK134" t="str">
        <v/>
      </c>
      <c r="AL134" t="str">
        <v/>
      </c>
    </row>
    <row r="135" spans="8:38" x14ac:dyDescent="0.3">
      <c r="H135" t="str">
        <v/>
      </c>
      <c r="I135" t="str">
        <v/>
      </c>
      <c r="J135" t="str">
        <v/>
      </c>
      <c r="K135" t="str">
        <v/>
      </c>
      <c r="L135" t="str">
        <v/>
      </c>
      <c r="M135" t="str">
        <v/>
      </c>
      <c r="N135" t="str">
        <v/>
      </c>
      <c r="O135" t="str">
        <v/>
      </c>
      <c r="P135" t="str">
        <v/>
      </c>
      <c r="Q135" t="str">
        <v/>
      </c>
      <c r="R135" t="str">
        <v/>
      </c>
      <c r="S135" t="str">
        <v/>
      </c>
      <c r="T135" t="str">
        <v/>
      </c>
      <c r="U135" t="str">
        <v/>
      </c>
      <c r="V135" t="str">
        <v/>
      </c>
      <c r="W135" t="str">
        <v/>
      </c>
      <c r="X135" t="str">
        <v/>
      </c>
      <c r="Y135" t="str">
        <v/>
      </c>
      <c r="Z135" t="str">
        <v/>
      </c>
      <c r="AA135" t="str">
        <v/>
      </c>
      <c r="AB135" t="str">
        <v/>
      </c>
      <c r="AC135" t="str">
        <v/>
      </c>
      <c r="AD135" t="str">
        <v/>
      </c>
      <c r="AE135" t="str">
        <v/>
      </c>
      <c r="AF135" t="str">
        <v/>
      </c>
      <c r="AG135" t="str">
        <v/>
      </c>
      <c r="AH135" t="str">
        <v/>
      </c>
      <c r="AI135" t="str">
        <v/>
      </c>
      <c r="AJ135" t="str">
        <v/>
      </c>
      <c r="AK135" t="str">
        <v/>
      </c>
      <c r="AL135" t="str">
        <v/>
      </c>
    </row>
    <row r="136" spans="8:38" x14ac:dyDescent="0.3">
      <c r="H136" t="str">
        <v/>
      </c>
      <c r="I136" t="str">
        <v/>
      </c>
      <c r="J136" t="str">
        <v/>
      </c>
      <c r="K136" t="str">
        <v/>
      </c>
      <c r="L136" t="str">
        <v/>
      </c>
      <c r="M136" t="str">
        <v/>
      </c>
      <c r="N136" t="str">
        <v/>
      </c>
      <c r="O136" t="str">
        <v/>
      </c>
      <c r="P136" t="str">
        <v/>
      </c>
      <c r="Q136" t="str">
        <v/>
      </c>
      <c r="R136" t="str">
        <v/>
      </c>
      <c r="S136" t="str">
        <v/>
      </c>
      <c r="T136" t="str">
        <v/>
      </c>
      <c r="U136" t="str">
        <v/>
      </c>
      <c r="V136" t="str">
        <v/>
      </c>
      <c r="W136" t="str">
        <v/>
      </c>
      <c r="X136" t="str">
        <v/>
      </c>
      <c r="Y136" t="str">
        <v/>
      </c>
      <c r="Z136" t="str">
        <v/>
      </c>
      <c r="AA136" t="str">
        <v/>
      </c>
      <c r="AB136" t="str">
        <v/>
      </c>
      <c r="AC136" t="str">
        <v/>
      </c>
      <c r="AD136" t="str">
        <v/>
      </c>
      <c r="AE136" t="str">
        <v/>
      </c>
      <c r="AF136" t="str">
        <v/>
      </c>
      <c r="AG136" t="str">
        <v/>
      </c>
      <c r="AH136" t="str">
        <v/>
      </c>
      <c r="AI136" t="str">
        <v/>
      </c>
      <c r="AJ136" t="str">
        <v/>
      </c>
      <c r="AK136" t="str">
        <v/>
      </c>
      <c r="AL136" t="str">
        <v/>
      </c>
    </row>
    <row r="137" spans="8:38" x14ac:dyDescent="0.3">
      <c r="H137" t="str">
        <v/>
      </c>
      <c r="I137" t="str">
        <v/>
      </c>
      <c r="J137" t="str">
        <v/>
      </c>
      <c r="K137" t="str">
        <v/>
      </c>
      <c r="L137" t="str">
        <v/>
      </c>
      <c r="M137" t="str">
        <v/>
      </c>
      <c r="N137" t="str">
        <v/>
      </c>
      <c r="O137" t="str">
        <v/>
      </c>
      <c r="P137" t="str">
        <v/>
      </c>
      <c r="Q137" t="str">
        <v/>
      </c>
      <c r="R137" t="str">
        <v/>
      </c>
      <c r="S137" t="str">
        <v/>
      </c>
      <c r="T137" t="str">
        <v/>
      </c>
      <c r="U137" t="str">
        <v/>
      </c>
      <c r="V137" t="str">
        <v/>
      </c>
      <c r="W137" t="str">
        <v/>
      </c>
      <c r="X137" t="str">
        <v/>
      </c>
      <c r="Y137" t="str">
        <v/>
      </c>
      <c r="Z137" t="str">
        <v/>
      </c>
      <c r="AA137" t="str">
        <v/>
      </c>
      <c r="AB137" t="str">
        <v/>
      </c>
      <c r="AC137" t="str">
        <v/>
      </c>
      <c r="AD137" t="str">
        <v/>
      </c>
      <c r="AE137" t="str">
        <v/>
      </c>
      <c r="AF137" t="str">
        <v/>
      </c>
      <c r="AG137" t="str">
        <v/>
      </c>
      <c r="AH137" t="str">
        <v/>
      </c>
      <c r="AI137" t="str">
        <v/>
      </c>
      <c r="AJ137" t="str">
        <v/>
      </c>
      <c r="AK137" t="str">
        <v/>
      </c>
      <c r="AL137" t="str">
        <v/>
      </c>
    </row>
    <row r="138" spans="8:38" x14ac:dyDescent="0.3">
      <c r="H138" t="str">
        <v/>
      </c>
      <c r="I138" t="str">
        <v/>
      </c>
      <c r="J138" t="str">
        <v/>
      </c>
      <c r="K138" t="str">
        <v/>
      </c>
      <c r="L138" t="str">
        <v/>
      </c>
      <c r="M138" t="str">
        <v/>
      </c>
      <c r="N138" t="str">
        <v/>
      </c>
      <c r="O138" t="str">
        <v/>
      </c>
      <c r="P138" t="str">
        <v/>
      </c>
      <c r="Q138" t="str">
        <v/>
      </c>
      <c r="R138" t="str">
        <v/>
      </c>
      <c r="S138" t="str">
        <v/>
      </c>
      <c r="T138" t="str">
        <v/>
      </c>
      <c r="U138" t="str">
        <v/>
      </c>
      <c r="V138" t="str">
        <v/>
      </c>
      <c r="W138" t="str">
        <v/>
      </c>
      <c r="X138" t="str">
        <v/>
      </c>
      <c r="Y138" t="str">
        <v/>
      </c>
      <c r="Z138" t="str">
        <v/>
      </c>
      <c r="AA138" t="str">
        <v/>
      </c>
      <c r="AB138" t="str">
        <v/>
      </c>
      <c r="AC138" t="str">
        <v/>
      </c>
      <c r="AD138" t="str">
        <v/>
      </c>
      <c r="AE138" t="str">
        <v/>
      </c>
      <c r="AF138" t="str">
        <v/>
      </c>
      <c r="AG138" t="str">
        <v/>
      </c>
      <c r="AH138" t="str">
        <v/>
      </c>
      <c r="AI138" t="str">
        <v/>
      </c>
      <c r="AJ138" t="str">
        <v/>
      </c>
      <c r="AK138" t="str">
        <v/>
      </c>
      <c r="AL138" t="str">
        <v/>
      </c>
    </row>
    <row r="139" spans="8:38" x14ac:dyDescent="0.3">
      <c r="H139" t="str">
        <v/>
      </c>
      <c r="I139" t="str">
        <v/>
      </c>
      <c r="J139" t="str">
        <v/>
      </c>
      <c r="K139" t="str">
        <v/>
      </c>
      <c r="L139" t="str">
        <v/>
      </c>
      <c r="M139" t="str">
        <v/>
      </c>
      <c r="N139" t="str">
        <v/>
      </c>
      <c r="O139" t="str">
        <v/>
      </c>
      <c r="P139" t="str">
        <v/>
      </c>
      <c r="Q139" t="str">
        <v/>
      </c>
      <c r="R139" t="str">
        <v/>
      </c>
      <c r="S139" t="str">
        <v/>
      </c>
      <c r="T139" t="str">
        <v/>
      </c>
      <c r="U139" t="str">
        <v/>
      </c>
      <c r="V139" t="str">
        <v/>
      </c>
      <c r="W139" t="str">
        <v/>
      </c>
      <c r="X139" t="str">
        <v/>
      </c>
      <c r="Y139" t="str">
        <v/>
      </c>
      <c r="Z139" t="str">
        <v/>
      </c>
      <c r="AA139" t="str">
        <v/>
      </c>
      <c r="AB139" t="str">
        <v/>
      </c>
      <c r="AC139" t="str">
        <v/>
      </c>
      <c r="AD139" t="str">
        <v/>
      </c>
      <c r="AE139" t="str">
        <v/>
      </c>
      <c r="AF139" t="str">
        <v/>
      </c>
      <c r="AG139" t="str">
        <v/>
      </c>
      <c r="AH139" t="str">
        <v/>
      </c>
      <c r="AI139" t="str">
        <v/>
      </c>
      <c r="AJ139" t="str">
        <v/>
      </c>
      <c r="AK139" t="str">
        <v/>
      </c>
      <c r="AL139" t="str">
        <v/>
      </c>
    </row>
    <row r="140" spans="8:38" x14ac:dyDescent="0.3">
      <c r="H140" t="str">
        <v/>
      </c>
      <c r="I140" t="str">
        <v/>
      </c>
      <c r="J140" t="str">
        <v/>
      </c>
      <c r="K140" t="str">
        <v/>
      </c>
      <c r="L140" t="str">
        <v/>
      </c>
      <c r="M140" t="str">
        <v/>
      </c>
      <c r="N140" t="str">
        <v/>
      </c>
      <c r="O140" t="str">
        <v/>
      </c>
      <c r="P140" t="str">
        <v/>
      </c>
      <c r="Q140" t="str">
        <v/>
      </c>
      <c r="R140" t="str">
        <v/>
      </c>
      <c r="S140" t="str">
        <v/>
      </c>
      <c r="T140" t="str">
        <v/>
      </c>
      <c r="U140" t="str">
        <v/>
      </c>
      <c r="V140" t="str">
        <v/>
      </c>
      <c r="W140" t="str">
        <v/>
      </c>
      <c r="X140" t="str">
        <v/>
      </c>
      <c r="Y140" t="str">
        <v/>
      </c>
      <c r="Z140" t="str">
        <v/>
      </c>
      <c r="AA140" t="str">
        <v/>
      </c>
      <c r="AB140" t="str">
        <v/>
      </c>
      <c r="AC140" t="str">
        <v/>
      </c>
      <c r="AD140" t="str">
        <v/>
      </c>
      <c r="AE140" t="str">
        <v/>
      </c>
      <c r="AF140" t="str">
        <v/>
      </c>
      <c r="AG140" t="str">
        <v/>
      </c>
      <c r="AH140" t="str">
        <v/>
      </c>
      <c r="AI140" t="str">
        <v/>
      </c>
      <c r="AJ140" t="str">
        <v/>
      </c>
      <c r="AK140" t="str">
        <v/>
      </c>
      <c r="AL140" t="str">
        <v/>
      </c>
    </row>
    <row r="141" spans="8:38" x14ac:dyDescent="0.3">
      <c r="H141" t="str">
        <v/>
      </c>
      <c r="I141" t="str">
        <v/>
      </c>
      <c r="J141" t="str">
        <v/>
      </c>
      <c r="K141" t="str">
        <v/>
      </c>
      <c r="L141" t="str">
        <v/>
      </c>
      <c r="M141" t="str">
        <v/>
      </c>
      <c r="N141" t="str">
        <v/>
      </c>
      <c r="O141" t="str">
        <v/>
      </c>
      <c r="P141" t="str">
        <v/>
      </c>
      <c r="Q141" t="str">
        <v/>
      </c>
      <c r="R141" t="str">
        <v/>
      </c>
      <c r="S141" t="str">
        <v/>
      </c>
      <c r="T141" t="str">
        <v/>
      </c>
      <c r="U141" t="str">
        <v/>
      </c>
      <c r="V141" t="str">
        <v/>
      </c>
      <c r="W141" t="str">
        <v/>
      </c>
      <c r="X141" t="str">
        <v/>
      </c>
      <c r="Y141" t="str">
        <v/>
      </c>
      <c r="Z141" t="str">
        <v/>
      </c>
      <c r="AA141" t="str">
        <v/>
      </c>
      <c r="AB141" t="str">
        <v/>
      </c>
      <c r="AC141" t="str">
        <v/>
      </c>
      <c r="AD141" t="str">
        <v/>
      </c>
      <c r="AE141" t="str">
        <v/>
      </c>
      <c r="AF141" t="str">
        <v/>
      </c>
      <c r="AG141" t="str">
        <v/>
      </c>
      <c r="AH141" t="str">
        <v/>
      </c>
      <c r="AI141" t="str">
        <v/>
      </c>
      <c r="AJ141" t="str">
        <v/>
      </c>
      <c r="AK141" t="str">
        <v/>
      </c>
      <c r="AL141" t="str">
        <v/>
      </c>
    </row>
    <row r="142" spans="8:38" x14ac:dyDescent="0.3">
      <c r="H142" t="str">
        <v/>
      </c>
      <c r="I142" t="str">
        <v/>
      </c>
      <c r="J142" t="str">
        <v/>
      </c>
      <c r="K142" t="str">
        <v/>
      </c>
      <c r="L142" t="str">
        <v/>
      </c>
      <c r="M142" t="str">
        <v/>
      </c>
      <c r="N142" t="str">
        <v/>
      </c>
      <c r="O142" t="str">
        <v/>
      </c>
      <c r="P142" t="str">
        <v/>
      </c>
      <c r="Q142" t="str">
        <v/>
      </c>
      <c r="R142" t="str">
        <v/>
      </c>
      <c r="S142" t="str">
        <v/>
      </c>
      <c r="T142" t="str">
        <v/>
      </c>
      <c r="U142" t="str">
        <v/>
      </c>
      <c r="V142" t="str">
        <v/>
      </c>
      <c r="W142" t="str">
        <v/>
      </c>
      <c r="X142" t="str">
        <v/>
      </c>
      <c r="Y142" t="str">
        <v/>
      </c>
      <c r="Z142" t="str">
        <v/>
      </c>
      <c r="AA142" t="str">
        <v/>
      </c>
      <c r="AB142" t="str">
        <v/>
      </c>
      <c r="AC142" t="str">
        <v/>
      </c>
      <c r="AD142" t="str">
        <v/>
      </c>
      <c r="AE142" t="str">
        <v/>
      </c>
      <c r="AF142" t="str">
        <v/>
      </c>
      <c r="AG142" t="str">
        <v/>
      </c>
      <c r="AH142" t="str">
        <v/>
      </c>
      <c r="AI142" t="str">
        <v/>
      </c>
      <c r="AJ142" t="str">
        <v/>
      </c>
      <c r="AK142" t="str">
        <v/>
      </c>
      <c r="AL142" t="str">
        <v/>
      </c>
    </row>
    <row r="143" spans="8:38" x14ac:dyDescent="0.3">
      <c r="H143" t="str">
        <v/>
      </c>
      <c r="I143" t="str">
        <v/>
      </c>
      <c r="J143" t="str">
        <v/>
      </c>
      <c r="K143" t="str">
        <v/>
      </c>
      <c r="L143" t="str">
        <v/>
      </c>
      <c r="M143" t="str">
        <v/>
      </c>
      <c r="N143" t="str">
        <v/>
      </c>
      <c r="O143" t="str">
        <v/>
      </c>
      <c r="P143" t="str">
        <v/>
      </c>
      <c r="Q143" t="str">
        <v/>
      </c>
      <c r="R143" t="str">
        <v/>
      </c>
      <c r="S143" t="str">
        <v/>
      </c>
      <c r="T143" t="str">
        <v/>
      </c>
      <c r="U143" t="str">
        <v/>
      </c>
      <c r="V143" t="str">
        <v/>
      </c>
      <c r="W143" t="str">
        <v/>
      </c>
      <c r="X143" t="str">
        <v/>
      </c>
      <c r="Y143" t="str">
        <v/>
      </c>
      <c r="Z143" t="str">
        <v/>
      </c>
      <c r="AA143" t="str">
        <v/>
      </c>
      <c r="AB143" t="str">
        <v/>
      </c>
      <c r="AC143" t="str">
        <v/>
      </c>
      <c r="AD143" t="str">
        <v/>
      </c>
      <c r="AE143" t="str">
        <v/>
      </c>
      <c r="AF143" t="str">
        <v/>
      </c>
      <c r="AG143" t="str">
        <v/>
      </c>
      <c r="AH143" t="str">
        <v/>
      </c>
      <c r="AI143" t="str">
        <v/>
      </c>
      <c r="AJ143" t="str">
        <v/>
      </c>
      <c r="AK143" t="str">
        <v/>
      </c>
      <c r="AL143" t="str">
        <v/>
      </c>
    </row>
    <row r="144" spans="8:38" x14ac:dyDescent="0.3">
      <c r="H144" t="str">
        <v/>
      </c>
      <c r="I144" t="str">
        <v/>
      </c>
      <c r="J144" t="str">
        <v/>
      </c>
      <c r="K144" t="str">
        <v/>
      </c>
      <c r="L144" t="str">
        <v/>
      </c>
      <c r="M144" t="str">
        <v/>
      </c>
      <c r="N144" t="str">
        <v/>
      </c>
      <c r="O144" t="str">
        <v/>
      </c>
      <c r="P144" t="str">
        <v/>
      </c>
      <c r="Q144" t="str">
        <v/>
      </c>
      <c r="R144" t="str">
        <v/>
      </c>
      <c r="S144" t="str">
        <v/>
      </c>
      <c r="T144" t="str">
        <v/>
      </c>
      <c r="U144" t="str">
        <v/>
      </c>
      <c r="V144" t="str">
        <v/>
      </c>
      <c r="W144" t="str">
        <v/>
      </c>
      <c r="X144" t="str">
        <v/>
      </c>
      <c r="Y144" t="str">
        <v/>
      </c>
      <c r="Z144" t="str">
        <v/>
      </c>
      <c r="AA144" t="str">
        <v/>
      </c>
      <c r="AB144" t="str">
        <v/>
      </c>
      <c r="AC144" t="str">
        <v/>
      </c>
      <c r="AD144" t="str">
        <v/>
      </c>
      <c r="AE144" t="str">
        <v/>
      </c>
      <c r="AF144" t="str">
        <v/>
      </c>
      <c r="AG144" t="str">
        <v/>
      </c>
      <c r="AH144" t="str">
        <v/>
      </c>
      <c r="AI144" t="str">
        <v/>
      </c>
      <c r="AJ144" t="str">
        <v/>
      </c>
      <c r="AK144" t="str">
        <v/>
      </c>
      <c r="AL144" t="str">
        <v/>
      </c>
    </row>
    <row r="145" spans="8:38" x14ac:dyDescent="0.3">
      <c r="H145" t="str">
        <v/>
      </c>
      <c r="I145" t="str">
        <v/>
      </c>
      <c r="J145" t="str">
        <v/>
      </c>
      <c r="K145" t="str">
        <v/>
      </c>
      <c r="L145" t="str">
        <v/>
      </c>
      <c r="M145" t="str">
        <v/>
      </c>
      <c r="N145" t="str">
        <v/>
      </c>
      <c r="O145" t="str">
        <v/>
      </c>
      <c r="P145" t="str">
        <v/>
      </c>
      <c r="Q145" t="str">
        <v/>
      </c>
      <c r="R145" t="str">
        <v/>
      </c>
      <c r="S145" t="str">
        <v/>
      </c>
      <c r="T145" t="str">
        <v/>
      </c>
      <c r="U145" t="str">
        <v/>
      </c>
      <c r="V145" t="str">
        <v/>
      </c>
      <c r="W145" t="str">
        <v/>
      </c>
      <c r="X145" t="str">
        <v/>
      </c>
      <c r="Y145" t="str">
        <v/>
      </c>
      <c r="Z145" t="str">
        <v/>
      </c>
      <c r="AA145" t="str">
        <v/>
      </c>
      <c r="AB145" t="str">
        <v/>
      </c>
      <c r="AC145" t="str">
        <v/>
      </c>
      <c r="AD145" t="str">
        <v/>
      </c>
      <c r="AE145" t="str">
        <v/>
      </c>
      <c r="AF145" t="str">
        <v/>
      </c>
      <c r="AG145" t="str">
        <v/>
      </c>
      <c r="AH145" t="str">
        <v/>
      </c>
      <c r="AI145" t="str">
        <v/>
      </c>
      <c r="AJ145" t="str">
        <v/>
      </c>
      <c r="AK145" t="str">
        <v/>
      </c>
      <c r="AL145" t="str">
        <v/>
      </c>
    </row>
    <row r="146" spans="8:38" x14ac:dyDescent="0.3">
      <c r="H146" t="str">
        <v/>
      </c>
      <c r="I146" t="str">
        <v/>
      </c>
      <c r="J146" t="str">
        <v/>
      </c>
      <c r="K146" t="str">
        <v/>
      </c>
      <c r="L146" t="str">
        <v/>
      </c>
      <c r="M146" t="str">
        <v/>
      </c>
      <c r="N146" t="str">
        <v/>
      </c>
      <c r="O146" t="str">
        <v/>
      </c>
      <c r="P146" t="str">
        <v/>
      </c>
      <c r="Q146" t="str">
        <v/>
      </c>
      <c r="R146" t="str">
        <v/>
      </c>
      <c r="S146" t="str">
        <v/>
      </c>
      <c r="T146" t="str">
        <v/>
      </c>
      <c r="U146" t="str">
        <v/>
      </c>
      <c r="V146" t="str">
        <v/>
      </c>
      <c r="W146" t="str">
        <v/>
      </c>
      <c r="X146" t="str">
        <v/>
      </c>
      <c r="Y146" t="str">
        <v/>
      </c>
      <c r="Z146" t="str">
        <v/>
      </c>
      <c r="AA146" t="str">
        <v/>
      </c>
      <c r="AB146" t="str">
        <v/>
      </c>
      <c r="AC146" t="str">
        <v/>
      </c>
      <c r="AD146" t="str">
        <v/>
      </c>
      <c r="AE146" t="str">
        <v/>
      </c>
      <c r="AF146" t="str">
        <v/>
      </c>
      <c r="AG146" t="str">
        <v/>
      </c>
      <c r="AH146" t="str">
        <v/>
      </c>
      <c r="AI146" t="str">
        <v/>
      </c>
      <c r="AJ146" t="str">
        <v/>
      </c>
      <c r="AK146" t="str">
        <v/>
      </c>
      <c r="AL146" t="str">
        <v/>
      </c>
    </row>
    <row r="147" spans="8:38" x14ac:dyDescent="0.3">
      <c r="H147" t="str">
        <v/>
      </c>
      <c r="I147" t="str">
        <v/>
      </c>
      <c r="J147" t="str">
        <v/>
      </c>
      <c r="K147" t="str">
        <v/>
      </c>
      <c r="L147" t="str">
        <v/>
      </c>
      <c r="M147" t="str">
        <v/>
      </c>
      <c r="N147" t="str">
        <v/>
      </c>
      <c r="O147" t="str">
        <v/>
      </c>
      <c r="P147" t="str">
        <v/>
      </c>
      <c r="Q147" t="str">
        <v/>
      </c>
      <c r="R147" t="str">
        <v/>
      </c>
      <c r="S147" t="str">
        <v/>
      </c>
      <c r="T147" t="str">
        <v/>
      </c>
      <c r="U147" t="str">
        <v/>
      </c>
      <c r="V147" t="str">
        <v/>
      </c>
      <c r="W147" t="str">
        <v/>
      </c>
      <c r="X147" t="str">
        <v/>
      </c>
      <c r="Y147" t="str">
        <v/>
      </c>
      <c r="Z147" t="str">
        <v/>
      </c>
      <c r="AA147" t="str">
        <v/>
      </c>
      <c r="AB147" t="str">
        <v/>
      </c>
      <c r="AC147" t="str">
        <v/>
      </c>
      <c r="AD147" t="str">
        <v/>
      </c>
      <c r="AE147" t="str">
        <v/>
      </c>
      <c r="AF147" t="str">
        <v/>
      </c>
      <c r="AG147" t="str">
        <v/>
      </c>
      <c r="AH147" t="str">
        <v/>
      </c>
      <c r="AI147" t="str">
        <v/>
      </c>
      <c r="AJ147" t="str">
        <v/>
      </c>
      <c r="AK147" t="str">
        <v/>
      </c>
      <c r="AL147" t="str">
        <v/>
      </c>
    </row>
    <row r="148" spans="8:38" x14ac:dyDescent="0.3">
      <c r="H148" t="str">
        <v/>
      </c>
      <c r="I148" t="str">
        <v/>
      </c>
      <c r="J148" t="str">
        <v/>
      </c>
      <c r="K148" t="str">
        <v/>
      </c>
      <c r="L148" t="str">
        <v/>
      </c>
      <c r="M148" t="str">
        <v/>
      </c>
      <c r="N148" t="str">
        <v/>
      </c>
      <c r="O148" t="str">
        <v/>
      </c>
      <c r="P148" t="str">
        <v/>
      </c>
      <c r="Q148" t="str">
        <v/>
      </c>
      <c r="R148" t="str">
        <v/>
      </c>
      <c r="S148" t="str">
        <v/>
      </c>
      <c r="T148" t="str">
        <v/>
      </c>
      <c r="U148" t="str">
        <v/>
      </c>
      <c r="V148" t="str">
        <v/>
      </c>
      <c r="W148" t="str">
        <v/>
      </c>
      <c r="X148" t="str">
        <v/>
      </c>
      <c r="Y148" t="str">
        <v/>
      </c>
      <c r="Z148" t="str">
        <v/>
      </c>
      <c r="AA148" t="str">
        <v/>
      </c>
      <c r="AB148" t="str">
        <v/>
      </c>
      <c r="AC148" t="str">
        <v/>
      </c>
      <c r="AD148" t="str">
        <v/>
      </c>
      <c r="AE148" t="str">
        <v/>
      </c>
      <c r="AF148" t="str">
        <v/>
      </c>
      <c r="AG148" t="str">
        <v/>
      </c>
      <c r="AH148" t="str">
        <v/>
      </c>
      <c r="AI148" t="str">
        <v/>
      </c>
      <c r="AJ148" t="str">
        <v/>
      </c>
      <c r="AK148" t="str">
        <v/>
      </c>
      <c r="AL148" t="str">
        <v/>
      </c>
    </row>
    <row r="149" spans="8:38" x14ac:dyDescent="0.3">
      <c r="H149" t="str">
        <v/>
      </c>
      <c r="I149" t="str">
        <v/>
      </c>
      <c r="J149" t="str">
        <v/>
      </c>
      <c r="K149" t="str">
        <v/>
      </c>
      <c r="L149" t="str">
        <v/>
      </c>
      <c r="M149" t="str">
        <v/>
      </c>
      <c r="N149" t="str">
        <v/>
      </c>
      <c r="O149" t="str">
        <v/>
      </c>
      <c r="P149" t="str">
        <v/>
      </c>
      <c r="Q149" t="str">
        <v/>
      </c>
      <c r="R149" t="str">
        <v/>
      </c>
      <c r="S149" t="str">
        <v/>
      </c>
      <c r="T149" t="str">
        <v/>
      </c>
      <c r="U149" t="str">
        <v/>
      </c>
      <c r="V149" t="str">
        <v/>
      </c>
      <c r="W149" t="str">
        <v/>
      </c>
      <c r="X149" t="str">
        <v/>
      </c>
      <c r="Y149" t="str">
        <v/>
      </c>
      <c r="Z149" t="str">
        <v/>
      </c>
      <c r="AA149" t="str">
        <v/>
      </c>
      <c r="AB149" t="str">
        <v/>
      </c>
      <c r="AC149" t="str">
        <v/>
      </c>
      <c r="AD149" t="str">
        <v/>
      </c>
      <c r="AE149" t="str">
        <v/>
      </c>
      <c r="AF149" t="str">
        <v/>
      </c>
      <c r="AG149" t="str">
        <v/>
      </c>
      <c r="AH149" t="str">
        <v/>
      </c>
      <c r="AI149" t="str">
        <v/>
      </c>
      <c r="AJ149" t="str">
        <v/>
      </c>
      <c r="AK149" t="str">
        <v/>
      </c>
      <c r="AL149" t="str">
        <v/>
      </c>
    </row>
    <row r="150" spans="8:38" x14ac:dyDescent="0.3">
      <c r="H150" t="str">
        <v/>
      </c>
      <c r="I150" t="str">
        <v/>
      </c>
      <c r="J150" t="str">
        <v/>
      </c>
      <c r="K150" t="str">
        <v/>
      </c>
      <c r="L150" t="str">
        <v/>
      </c>
      <c r="M150" t="str">
        <v/>
      </c>
      <c r="N150" t="str">
        <v/>
      </c>
      <c r="O150" t="str">
        <v/>
      </c>
      <c r="P150" t="str">
        <v/>
      </c>
      <c r="Q150" t="str">
        <v/>
      </c>
      <c r="R150" t="str">
        <v/>
      </c>
      <c r="S150" t="str">
        <v/>
      </c>
      <c r="T150" t="str">
        <v/>
      </c>
      <c r="U150" t="str">
        <v/>
      </c>
      <c r="V150" t="str">
        <v/>
      </c>
      <c r="W150" t="str">
        <v/>
      </c>
      <c r="X150" t="str">
        <v/>
      </c>
      <c r="Y150" t="str">
        <v/>
      </c>
      <c r="Z150" t="str">
        <v/>
      </c>
      <c r="AA150" t="str">
        <v/>
      </c>
      <c r="AB150" t="str">
        <v/>
      </c>
      <c r="AC150" t="str">
        <v/>
      </c>
      <c r="AD150" t="str">
        <v/>
      </c>
      <c r="AE150" t="str">
        <v/>
      </c>
      <c r="AF150" t="str">
        <v/>
      </c>
      <c r="AG150" t="str">
        <v/>
      </c>
      <c r="AH150" t="str">
        <v/>
      </c>
      <c r="AI150" t="str">
        <v/>
      </c>
      <c r="AJ150" t="str">
        <v/>
      </c>
      <c r="AK150" t="str">
        <v/>
      </c>
      <c r="AL150" t="str">
        <v/>
      </c>
    </row>
    <row r="151" spans="8:38" x14ac:dyDescent="0.3">
      <c r="H151" t="str">
        <v/>
      </c>
      <c r="I151" t="str">
        <v/>
      </c>
      <c r="J151" t="str">
        <v/>
      </c>
      <c r="K151" t="str">
        <v/>
      </c>
      <c r="L151" t="str">
        <v/>
      </c>
      <c r="M151" t="str">
        <v/>
      </c>
      <c r="N151" t="str">
        <v/>
      </c>
      <c r="O151" t="str">
        <v/>
      </c>
      <c r="P151" t="str">
        <v/>
      </c>
      <c r="Q151" t="str">
        <v/>
      </c>
      <c r="R151" t="str">
        <v/>
      </c>
      <c r="S151" t="str">
        <v/>
      </c>
      <c r="T151" t="str">
        <v/>
      </c>
      <c r="U151" t="str">
        <v/>
      </c>
      <c r="V151" t="str">
        <v/>
      </c>
      <c r="W151" t="str">
        <v/>
      </c>
      <c r="X151" t="str">
        <v/>
      </c>
      <c r="Y151" t="str">
        <v/>
      </c>
      <c r="Z151" t="str">
        <v/>
      </c>
      <c r="AA151" t="str">
        <v/>
      </c>
      <c r="AB151" t="str">
        <v/>
      </c>
      <c r="AC151" t="str">
        <v/>
      </c>
      <c r="AD151" t="str">
        <v/>
      </c>
      <c r="AE151" t="str">
        <v/>
      </c>
      <c r="AF151" t="str">
        <v/>
      </c>
      <c r="AG151" t="str">
        <v/>
      </c>
      <c r="AH151" t="str">
        <v/>
      </c>
      <c r="AI151" t="str">
        <v/>
      </c>
      <c r="AJ151" t="str">
        <v/>
      </c>
      <c r="AK151" t="str">
        <v/>
      </c>
      <c r="AL151" t="str">
        <v/>
      </c>
    </row>
    <row r="152" spans="8:38" x14ac:dyDescent="0.3">
      <c r="H152" t="str">
        <v/>
      </c>
      <c r="I152" t="str">
        <v/>
      </c>
      <c r="J152" t="str">
        <v/>
      </c>
      <c r="K152" t="str">
        <v/>
      </c>
      <c r="L152" t="str">
        <v/>
      </c>
      <c r="M152" t="str">
        <v/>
      </c>
      <c r="N152" t="str">
        <v/>
      </c>
      <c r="O152" t="str">
        <v/>
      </c>
      <c r="P152" t="str">
        <v/>
      </c>
      <c r="Q152" t="str">
        <v/>
      </c>
      <c r="R152" t="str">
        <v/>
      </c>
      <c r="S152" t="str">
        <v/>
      </c>
      <c r="T152" t="str">
        <v/>
      </c>
      <c r="U152" t="str">
        <v/>
      </c>
      <c r="V152" t="str">
        <v/>
      </c>
      <c r="W152" t="str">
        <v/>
      </c>
      <c r="X152" t="str">
        <v/>
      </c>
      <c r="Y152" t="str">
        <v/>
      </c>
      <c r="Z152" t="str">
        <v/>
      </c>
      <c r="AA152" t="str">
        <v/>
      </c>
      <c r="AB152" t="str">
        <v/>
      </c>
      <c r="AC152" t="str">
        <v/>
      </c>
      <c r="AD152" t="str">
        <v/>
      </c>
      <c r="AE152" t="str">
        <v/>
      </c>
      <c r="AF152" t="str">
        <v/>
      </c>
      <c r="AG152" t="str">
        <v/>
      </c>
      <c r="AH152" t="str">
        <v/>
      </c>
      <c r="AI152" t="str">
        <v/>
      </c>
      <c r="AJ152" t="str">
        <v/>
      </c>
      <c r="AK152" t="str">
        <v/>
      </c>
      <c r="AL152" t="str">
        <v/>
      </c>
    </row>
    <row r="153" spans="8:38" x14ac:dyDescent="0.3">
      <c r="H153" t="str">
        <v/>
      </c>
      <c r="I153" t="str">
        <v/>
      </c>
      <c r="J153" t="str">
        <v/>
      </c>
      <c r="K153" t="str">
        <v/>
      </c>
      <c r="L153" t="str">
        <v/>
      </c>
      <c r="M153" t="str">
        <v/>
      </c>
      <c r="N153" t="str">
        <v/>
      </c>
      <c r="O153" t="str">
        <v/>
      </c>
      <c r="P153" t="str">
        <v/>
      </c>
      <c r="Q153" t="str">
        <v/>
      </c>
      <c r="R153" t="str">
        <v/>
      </c>
      <c r="S153" t="str">
        <v/>
      </c>
      <c r="T153" t="str">
        <v/>
      </c>
      <c r="U153" t="str">
        <v/>
      </c>
      <c r="V153" t="str">
        <v/>
      </c>
      <c r="W153" t="str">
        <v/>
      </c>
      <c r="X153" t="str">
        <v/>
      </c>
      <c r="Y153" t="str">
        <v/>
      </c>
      <c r="Z153" t="str">
        <v/>
      </c>
      <c r="AA153" t="str">
        <v/>
      </c>
      <c r="AB153" t="str">
        <v/>
      </c>
      <c r="AC153" t="str">
        <v/>
      </c>
      <c r="AD153" t="str">
        <v/>
      </c>
      <c r="AE153" t="str">
        <v/>
      </c>
      <c r="AF153" t="str">
        <v/>
      </c>
      <c r="AG153" t="str">
        <v/>
      </c>
      <c r="AH153" t="str">
        <v/>
      </c>
      <c r="AI153" t="str">
        <v/>
      </c>
      <c r="AJ153" t="str">
        <v/>
      </c>
      <c r="AK153" t="str">
        <v/>
      </c>
      <c r="AL153" t="str">
        <v/>
      </c>
    </row>
    <row r="154" spans="8:38" x14ac:dyDescent="0.3">
      <c r="H154" t="str">
        <v/>
      </c>
      <c r="I154" t="str">
        <v/>
      </c>
      <c r="J154" t="str">
        <v/>
      </c>
      <c r="K154" t="str">
        <v/>
      </c>
      <c r="L154" t="str">
        <v/>
      </c>
      <c r="M154" t="str">
        <v/>
      </c>
      <c r="N154" t="str">
        <v/>
      </c>
      <c r="O154" t="str">
        <v/>
      </c>
      <c r="P154" t="str">
        <v/>
      </c>
      <c r="Q154" t="str">
        <v/>
      </c>
      <c r="R154" t="str">
        <v/>
      </c>
      <c r="S154" t="str">
        <v/>
      </c>
      <c r="T154" t="str">
        <v/>
      </c>
      <c r="U154" t="str">
        <v/>
      </c>
      <c r="V154" t="str">
        <v/>
      </c>
      <c r="W154" t="str">
        <v/>
      </c>
      <c r="X154" t="str">
        <v/>
      </c>
      <c r="Y154" t="str">
        <v/>
      </c>
      <c r="Z154" t="str">
        <v/>
      </c>
      <c r="AA154" t="str">
        <v/>
      </c>
      <c r="AB154" t="str">
        <v/>
      </c>
      <c r="AC154" t="str">
        <v/>
      </c>
      <c r="AD154" t="str">
        <v/>
      </c>
      <c r="AE154" t="str">
        <v/>
      </c>
      <c r="AF154" t="str">
        <v/>
      </c>
      <c r="AG154" t="str">
        <v/>
      </c>
      <c r="AH154" t="str">
        <v/>
      </c>
      <c r="AI154" t="str">
        <v/>
      </c>
      <c r="AJ154" t="str">
        <v/>
      </c>
      <c r="AK154" t="str">
        <v/>
      </c>
      <c r="AL154" t="str">
        <v/>
      </c>
    </row>
    <row r="155" spans="8:38" x14ac:dyDescent="0.3">
      <c r="H155" t="str">
        <v/>
      </c>
      <c r="I155" t="str">
        <v/>
      </c>
      <c r="J155" t="str">
        <v/>
      </c>
      <c r="K155" t="str">
        <v/>
      </c>
      <c r="L155" t="str">
        <v/>
      </c>
      <c r="M155" t="str">
        <v/>
      </c>
      <c r="N155" t="str">
        <v/>
      </c>
      <c r="O155" t="str">
        <v/>
      </c>
      <c r="P155" t="str">
        <v/>
      </c>
      <c r="Q155" t="str">
        <v/>
      </c>
      <c r="R155" t="str">
        <v/>
      </c>
      <c r="S155" t="str">
        <v/>
      </c>
      <c r="T155" t="str">
        <v/>
      </c>
      <c r="U155" t="str">
        <v/>
      </c>
      <c r="V155" t="str">
        <v/>
      </c>
      <c r="W155" t="str">
        <v/>
      </c>
      <c r="X155" t="str">
        <v/>
      </c>
      <c r="Y155" t="str">
        <v/>
      </c>
      <c r="Z155" t="str">
        <v/>
      </c>
      <c r="AA155" t="str">
        <v/>
      </c>
      <c r="AB155" t="str">
        <v/>
      </c>
      <c r="AC155" t="str">
        <v/>
      </c>
      <c r="AD155" t="str">
        <v/>
      </c>
      <c r="AE155" t="str">
        <v/>
      </c>
      <c r="AF155" t="str">
        <v/>
      </c>
      <c r="AG155" t="str">
        <v/>
      </c>
      <c r="AH155" t="str">
        <v/>
      </c>
      <c r="AI155" t="str">
        <v/>
      </c>
      <c r="AJ155" t="str">
        <v/>
      </c>
      <c r="AK155" t="str">
        <v/>
      </c>
      <c r="AL155" t="str">
        <v/>
      </c>
    </row>
    <row r="156" spans="8:38" x14ac:dyDescent="0.3">
      <c r="H156" t="str">
        <v/>
      </c>
      <c r="I156" t="str">
        <v/>
      </c>
      <c r="J156" t="str">
        <v/>
      </c>
      <c r="K156" t="str">
        <v/>
      </c>
      <c r="L156" t="str">
        <v/>
      </c>
      <c r="M156" t="str">
        <v/>
      </c>
      <c r="N156" t="str">
        <v/>
      </c>
      <c r="O156" t="str">
        <v/>
      </c>
      <c r="P156" t="str">
        <v/>
      </c>
      <c r="Q156" t="str">
        <v/>
      </c>
      <c r="R156" t="str">
        <v/>
      </c>
      <c r="S156" t="str">
        <v/>
      </c>
      <c r="T156" t="str">
        <v/>
      </c>
      <c r="U156" t="str">
        <v/>
      </c>
      <c r="V156" t="str">
        <v/>
      </c>
      <c r="W156" t="str">
        <v/>
      </c>
      <c r="X156" t="str">
        <v/>
      </c>
      <c r="Y156" t="str">
        <v/>
      </c>
      <c r="Z156" t="str">
        <v/>
      </c>
      <c r="AA156" t="str">
        <v/>
      </c>
      <c r="AB156" t="str">
        <v/>
      </c>
      <c r="AC156" t="str">
        <v/>
      </c>
      <c r="AD156" t="str">
        <v/>
      </c>
      <c r="AE156" t="str">
        <v/>
      </c>
      <c r="AF156" t="str">
        <v/>
      </c>
      <c r="AG156" t="str">
        <v/>
      </c>
      <c r="AH156" t="str">
        <v/>
      </c>
      <c r="AI156" t="str">
        <v/>
      </c>
      <c r="AJ156" t="str">
        <v/>
      </c>
      <c r="AK156" t="str">
        <v/>
      </c>
      <c r="AL156" t="str">
        <v/>
      </c>
    </row>
    <row r="157" spans="8:38" x14ac:dyDescent="0.3">
      <c r="H157" t="str">
        <v/>
      </c>
      <c r="I157" t="str">
        <v/>
      </c>
      <c r="J157" t="str">
        <v/>
      </c>
      <c r="K157" t="str">
        <v/>
      </c>
      <c r="L157" t="str">
        <v/>
      </c>
      <c r="M157" t="str">
        <v/>
      </c>
      <c r="N157" t="str">
        <v/>
      </c>
      <c r="O157" t="str">
        <v/>
      </c>
      <c r="P157" t="str">
        <v/>
      </c>
      <c r="Q157" t="str">
        <v/>
      </c>
      <c r="R157" t="str">
        <v/>
      </c>
      <c r="S157" t="str">
        <v/>
      </c>
      <c r="T157" t="str">
        <v/>
      </c>
      <c r="U157" t="str">
        <v/>
      </c>
      <c r="V157" t="str">
        <v/>
      </c>
      <c r="W157" t="str">
        <v/>
      </c>
      <c r="X157" t="str">
        <v/>
      </c>
      <c r="Y157" t="str">
        <v/>
      </c>
      <c r="Z157" t="str">
        <v/>
      </c>
      <c r="AA157" t="str">
        <v/>
      </c>
      <c r="AB157" t="str">
        <v/>
      </c>
      <c r="AC157" t="str">
        <v/>
      </c>
      <c r="AD157" t="str">
        <v/>
      </c>
      <c r="AE157" t="str">
        <v/>
      </c>
      <c r="AF157" t="str">
        <v/>
      </c>
      <c r="AG157" t="str">
        <v/>
      </c>
      <c r="AH157" t="str">
        <v/>
      </c>
      <c r="AI157" t="str">
        <v/>
      </c>
      <c r="AJ157" t="str">
        <v/>
      </c>
      <c r="AK157" t="str">
        <v/>
      </c>
      <c r="AL157" t="str">
        <v/>
      </c>
    </row>
    <row r="158" spans="8:38" x14ac:dyDescent="0.3">
      <c r="H158" t="str">
        <v/>
      </c>
      <c r="I158" t="str">
        <v/>
      </c>
      <c r="J158" t="str">
        <v/>
      </c>
      <c r="K158" t="str">
        <v/>
      </c>
      <c r="L158" t="str">
        <v/>
      </c>
      <c r="M158" t="str">
        <v/>
      </c>
      <c r="N158" t="str">
        <v/>
      </c>
      <c r="O158" t="str">
        <v/>
      </c>
      <c r="P158" t="str">
        <v/>
      </c>
      <c r="Q158" t="str">
        <v/>
      </c>
      <c r="R158" t="str">
        <v/>
      </c>
      <c r="S158" t="str">
        <v/>
      </c>
      <c r="T158" t="str">
        <v/>
      </c>
      <c r="U158" t="str">
        <v/>
      </c>
      <c r="V158" t="str">
        <v/>
      </c>
      <c r="W158" t="str">
        <v/>
      </c>
      <c r="X158" t="str">
        <v/>
      </c>
      <c r="Y158" t="str">
        <v/>
      </c>
      <c r="Z158" t="str">
        <v/>
      </c>
      <c r="AA158" t="str">
        <v/>
      </c>
      <c r="AB158" t="str">
        <v/>
      </c>
      <c r="AC158" t="str">
        <v/>
      </c>
      <c r="AD158" t="str">
        <v/>
      </c>
      <c r="AE158" t="str">
        <v/>
      </c>
      <c r="AF158" t="str">
        <v/>
      </c>
      <c r="AG158" t="str">
        <v/>
      </c>
      <c r="AH158" t="str">
        <v/>
      </c>
      <c r="AI158" t="str">
        <v/>
      </c>
      <c r="AJ158" t="str">
        <v/>
      </c>
      <c r="AK158" t="str">
        <v/>
      </c>
      <c r="AL158" t="str">
        <v/>
      </c>
    </row>
    <row r="159" spans="8:38" x14ac:dyDescent="0.3">
      <c r="H159" t="str">
        <v/>
      </c>
      <c r="I159" t="str">
        <v/>
      </c>
      <c r="J159" t="str">
        <v/>
      </c>
      <c r="K159" t="str">
        <v/>
      </c>
      <c r="L159" t="str">
        <v/>
      </c>
      <c r="M159" t="str">
        <v/>
      </c>
      <c r="N159" t="str">
        <v/>
      </c>
      <c r="O159" t="str">
        <v/>
      </c>
      <c r="P159" t="str">
        <v/>
      </c>
      <c r="Q159" t="str">
        <v/>
      </c>
      <c r="R159" t="str">
        <v/>
      </c>
      <c r="S159" t="str">
        <v/>
      </c>
      <c r="T159" t="str">
        <v/>
      </c>
      <c r="U159" t="str">
        <v/>
      </c>
      <c r="V159" t="str">
        <v/>
      </c>
      <c r="W159" t="str">
        <v/>
      </c>
      <c r="X159" t="str">
        <v/>
      </c>
      <c r="Y159" t="str">
        <v/>
      </c>
      <c r="Z159" t="str">
        <v/>
      </c>
      <c r="AA159" t="str">
        <v/>
      </c>
      <c r="AB159" t="str">
        <v/>
      </c>
      <c r="AC159" t="str">
        <v/>
      </c>
      <c r="AD159" t="str">
        <v/>
      </c>
      <c r="AE159" t="str">
        <v/>
      </c>
      <c r="AF159" t="str">
        <v/>
      </c>
      <c r="AG159" t="str">
        <v/>
      </c>
      <c r="AH159" t="str">
        <v/>
      </c>
      <c r="AI159" t="str">
        <v/>
      </c>
      <c r="AJ159" t="str">
        <v/>
      </c>
      <c r="AK159" t="str">
        <v/>
      </c>
      <c r="AL159" t="str">
        <v/>
      </c>
    </row>
    <row r="160" spans="8:38" x14ac:dyDescent="0.3">
      <c r="H160" t="str">
        <v/>
      </c>
      <c r="I160" t="str">
        <v/>
      </c>
      <c r="J160" t="str">
        <v/>
      </c>
      <c r="K160" t="str">
        <v/>
      </c>
      <c r="L160" t="str">
        <v/>
      </c>
      <c r="M160" t="str">
        <v/>
      </c>
      <c r="N160" t="str">
        <v/>
      </c>
      <c r="O160" t="str">
        <v/>
      </c>
      <c r="P160" t="str">
        <v/>
      </c>
      <c r="Q160" t="str">
        <v/>
      </c>
      <c r="R160" t="str">
        <v/>
      </c>
      <c r="S160" t="str">
        <v/>
      </c>
      <c r="T160" t="str">
        <v/>
      </c>
      <c r="U160" t="str">
        <v/>
      </c>
      <c r="V160" t="str">
        <v/>
      </c>
      <c r="W160" t="str">
        <v/>
      </c>
      <c r="X160" t="str">
        <v/>
      </c>
      <c r="Y160" t="str">
        <v/>
      </c>
      <c r="Z160" t="str">
        <v/>
      </c>
      <c r="AA160" t="str">
        <v/>
      </c>
      <c r="AB160" t="str">
        <v/>
      </c>
      <c r="AC160" t="str">
        <v/>
      </c>
      <c r="AD160" t="str">
        <v/>
      </c>
      <c r="AE160" t="str">
        <v/>
      </c>
      <c r="AF160" t="str">
        <v/>
      </c>
      <c r="AG160" t="str">
        <v/>
      </c>
      <c r="AH160" t="str">
        <v/>
      </c>
      <c r="AI160" t="str">
        <v/>
      </c>
      <c r="AJ160" t="str">
        <v/>
      </c>
      <c r="AK160" t="str">
        <v/>
      </c>
      <c r="AL160" t="str">
        <v/>
      </c>
    </row>
    <row r="161" spans="8:38" x14ac:dyDescent="0.3">
      <c r="H161" t="str">
        <v/>
      </c>
      <c r="I161" t="str">
        <v/>
      </c>
      <c r="J161" t="str">
        <v/>
      </c>
      <c r="K161" t="str">
        <v/>
      </c>
      <c r="L161" t="str">
        <v/>
      </c>
      <c r="M161" t="str">
        <v/>
      </c>
      <c r="N161" t="str">
        <v/>
      </c>
      <c r="O161" t="str">
        <v/>
      </c>
      <c r="P161" t="str">
        <v/>
      </c>
      <c r="Q161" t="str">
        <v/>
      </c>
      <c r="R161" t="str">
        <v/>
      </c>
      <c r="S161" t="str">
        <v/>
      </c>
      <c r="T161" t="str">
        <v/>
      </c>
      <c r="U161" t="str">
        <v/>
      </c>
      <c r="V161" t="str">
        <v/>
      </c>
      <c r="W161" t="str">
        <v/>
      </c>
      <c r="X161" t="str">
        <v/>
      </c>
      <c r="Y161" t="str">
        <v/>
      </c>
      <c r="Z161" t="str">
        <v/>
      </c>
      <c r="AA161" t="str">
        <v/>
      </c>
      <c r="AB161" t="str">
        <v/>
      </c>
      <c r="AC161" t="str">
        <v/>
      </c>
      <c r="AD161" t="str">
        <v/>
      </c>
      <c r="AE161" t="str">
        <v/>
      </c>
      <c r="AF161" t="str">
        <v/>
      </c>
      <c r="AG161" t="str">
        <v/>
      </c>
      <c r="AH161" t="str">
        <v/>
      </c>
      <c r="AI161" t="str">
        <v/>
      </c>
      <c r="AJ161" t="str">
        <v/>
      </c>
      <c r="AK161" t="str">
        <v/>
      </c>
      <c r="AL161" t="str">
        <v/>
      </c>
    </row>
    <row r="162" spans="8:38" x14ac:dyDescent="0.3">
      <c r="H162" t="str">
        <v/>
      </c>
      <c r="I162" t="str">
        <v/>
      </c>
      <c r="J162" t="str">
        <v/>
      </c>
      <c r="K162" t="str">
        <v/>
      </c>
      <c r="L162" t="str">
        <v/>
      </c>
      <c r="M162" t="str">
        <v/>
      </c>
      <c r="N162" t="str">
        <v/>
      </c>
      <c r="O162" t="str">
        <v/>
      </c>
      <c r="P162" t="str">
        <v/>
      </c>
      <c r="Q162" t="str">
        <v/>
      </c>
      <c r="R162" t="str">
        <v/>
      </c>
      <c r="S162" t="str">
        <v/>
      </c>
      <c r="T162" t="str">
        <v/>
      </c>
      <c r="U162" t="str">
        <v/>
      </c>
      <c r="V162" t="str">
        <v/>
      </c>
      <c r="W162" t="str">
        <v/>
      </c>
      <c r="X162" t="str">
        <v/>
      </c>
      <c r="Y162" t="str">
        <v/>
      </c>
      <c r="Z162" t="str">
        <v/>
      </c>
      <c r="AA162" t="str">
        <v/>
      </c>
      <c r="AB162" t="str">
        <v/>
      </c>
      <c r="AC162" t="str">
        <v/>
      </c>
      <c r="AD162" t="str">
        <v/>
      </c>
      <c r="AE162" t="str">
        <v/>
      </c>
      <c r="AF162" t="str">
        <v/>
      </c>
      <c r="AG162" t="str">
        <v/>
      </c>
      <c r="AH162" t="str">
        <v/>
      </c>
      <c r="AI162" t="str">
        <v/>
      </c>
      <c r="AJ162" t="str">
        <v/>
      </c>
      <c r="AK162" t="str">
        <v/>
      </c>
      <c r="AL162" t="str">
        <v/>
      </c>
    </row>
    <row r="163" spans="8:38" x14ac:dyDescent="0.3">
      <c r="H163" t="str">
        <v/>
      </c>
      <c r="I163" t="str">
        <v/>
      </c>
      <c r="J163" t="str">
        <v/>
      </c>
      <c r="K163" t="str">
        <v/>
      </c>
      <c r="L163" t="str">
        <v/>
      </c>
      <c r="M163" t="str">
        <v/>
      </c>
      <c r="N163" t="str">
        <v/>
      </c>
      <c r="O163" t="str">
        <v/>
      </c>
      <c r="P163" t="str">
        <v/>
      </c>
      <c r="Q163" t="str">
        <v/>
      </c>
      <c r="R163" t="str">
        <v/>
      </c>
      <c r="S163" t="str">
        <v/>
      </c>
      <c r="T163" t="str">
        <v/>
      </c>
      <c r="U163" t="str">
        <v/>
      </c>
      <c r="V163" t="str">
        <v/>
      </c>
      <c r="W163" t="str">
        <v/>
      </c>
      <c r="X163" t="str">
        <v/>
      </c>
      <c r="Y163" t="str">
        <v/>
      </c>
      <c r="Z163" t="str">
        <v/>
      </c>
      <c r="AA163" t="str">
        <v/>
      </c>
      <c r="AB163" t="str">
        <v/>
      </c>
      <c r="AC163" t="str">
        <v/>
      </c>
      <c r="AD163" t="str">
        <v/>
      </c>
      <c r="AE163" t="str">
        <v/>
      </c>
      <c r="AF163" t="str">
        <v/>
      </c>
      <c r="AG163" t="str">
        <v/>
      </c>
      <c r="AH163" t="str">
        <v/>
      </c>
      <c r="AI163" t="str">
        <v/>
      </c>
      <c r="AJ163" t="str">
        <v/>
      </c>
      <c r="AK163" t="str">
        <v/>
      </c>
      <c r="AL163" t="str">
        <v/>
      </c>
    </row>
    <row r="164" spans="8:38" x14ac:dyDescent="0.3">
      <c r="H164" t="str">
        <v/>
      </c>
      <c r="I164" t="str">
        <v/>
      </c>
      <c r="J164" t="str">
        <v/>
      </c>
      <c r="K164" t="str">
        <v/>
      </c>
      <c r="L164" t="str">
        <v/>
      </c>
      <c r="M164" t="str">
        <v/>
      </c>
      <c r="N164" t="str">
        <v/>
      </c>
      <c r="O164" t="str">
        <v/>
      </c>
      <c r="P164" t="str">
        <v/>
      </c>
      <c r="Q164" t="str">
        <v/>
      </c>
      <c r="R164" t="str">
        <v/>
      </c>
      <c r="S164" t="str">
        <v/>
      </c>
      <c r="T164" t="str">
        <v/>
      </c>
      <c r="U164" t="str">
        <v/>
      </c>
      <c r="V164" t="str">
        <v/>
      </c>
      <c r="W164" t="str">
        <v/>
      </c>
      <c r="X164" t="str">
        <v/>
      </c>
      <c r="Y164" t="str">
        <v/>
      </c>
      <c r="Z164" t="str">
        <v/>
      </c>
      <c r="AA164" t="str">
        <v/>
      </c>
      <c r="AB164" t="str">
        <v/>
      </c>
      <c r="AC164" t="str">
        <v/>
      </c>
      <c r="AD164" t="str">
        <v/>
      </c>
      <c r="AE164" t="str">
        <v/>
      </c>
      <c r="AF164" t="str">
        <v/>
      </c>
      <c r="AG164" t="str">
        <v/>
      </c>
      <c r="AH164" t="str">
        <v/>
      </c>
      <c r="AI164" t="str">
        <v/>
      </c>
      <c r="AJ164" t="str">
        <v/>
      </c>
      <c r="AK164" t="str">
        <v/>
      </c>
      <c r="AL164" t="str">
        <v/>
      </c>
    </row>
    <row r="165" spans="8:38" x14ac:dyDescent="0.3">
      <c r="H165" t="str">
        <v/>
      </c>
      <c r="I165" t="str">
        <v/>
      </c>
      <c r="J165" t="str">
        <v/>
      </c>
      <c r="K165" t="str">
        <v/>
      </c>
      <c r="L165" t="str">
        <v/>
      </c>
      <c r="M165" t="str">
        <v/>
      </c>
      <c r="N165" t="str">
        <v/>
      </c>
      <c r="O165" t="str">
        <v/>
      </c>
      <c r="P165" t="str">
        <v/>
      </c>
      <c r="Q165" t="str">
        <v/>
      </c>
      <c r="R165" t="str">
        <v/>
      </c>
      <c r="S165" t="str">
        <v/>
      </c>
      <c r="T165" t="str">
        <v/>
      </c>
      <c r="U165" t="str">
        <v/>
      </c>
      <c r="V165" t="str">
        <v/>
      </c>
      <c r="W165" t="str">
        <v/>
      </c>
      <c r="X165" t="str">
        <v/>
      </c>
      <c r="Y165" t="str">
        <v/>
      </c>
      <c r="Z165" t="str">
        <v/>
      </c>
      <c r="AA165" t="str">
        <v/>
      </c>
      <c r="AB165" t="str">
        <v/>
      </c>
      <c r="AC165" t="str">
        <v/>
      </c>
      <c r="AD165" t="str">
        <v/>
      </c>
      <c r="AE165" t="str">
        <v/>
      </c>
      <c r="AF165" t="str">
        <v/>
      </c>
      <c r="AG165" t="str">
        <v/>
      </c>
      <c r="AH165" t="str">
        <v/>
      </c>
      <c r="AI165" t="str">
        <v/>
      </c>
      <c r="AJ165" t="str">
        <v/>
      </c>
      <c r="AK165" t="str">
        <v/>
      </c>
      <c r="AL165" t="str">
        <v/>
      </c>
    </row>
    <row r="166" spans="8:38" x14ac:dyDescent="0.3">
      <c r="H166" t="str">
        <v/>
      </c>
      <c r="I166" t="str">
        <v/>
      </c>
      <c r="J166" t="str">
        <v/>
      </c>
      <c r="K166" t="str">
        <v/>
      </c>
      <c r="L166" t="str">
        <v/>
      </c>
      <c r="M166" t="str">
        <v/>
      </c>
      <c r="N166" t="str">
        <v/>
      </c>
      <c r="O166" t="str">
        <v/>
      </c>
      <c r="P166" t="str">
        <v/>
      </c>
      <c r="Q166" t="str">
        <v/>
      </c>
      <c r="R166" t="str">
        <v/>
      </c>
      <c r="S166" t="str">
        <v/>
      </c>
      <c r="T166" t="str">
        <v/>
      </c>
      <c r="U166" t="str">
        <v/>
      </c>
      <c r="V166" t="str">
        <v/>
      </c>
      <c r="W166" t="str">
        <v/>
      </c>
      <c r="X166" t="str">
        <v/>
      </c>
      <c r="Y166" t="str">
        <v/>
      </c>
      <c r="Z166" t="str">
        <v/>
      </c>
      <c r="AA166" t="str">
        <v/>
      </c>
      <c r="AB166" t="str">
        <v/>
      </c>
      <c r="AC166" t="str">
        <v/>
      </c>
      <c r="AD166" t="str">
        <v/>
      </c>
      <c r="AE166" t="str">
        <v/>
      </c>
      <c r="AF166" t="str">
        <v/>
      </c>
      <c r="AG166" t="str">
        <v/>
      </c>
      <c r="AH166" t="str">
        <v/>
      </c>
      <c r="AI166" t="str">
        <v/>
      </c>
      <c r="AJ166" t="str">
        <v/>
      </c>
      <c r="AK166" t="str">
        <v/>
      </c>
      <c r="AL166" t="str">
        <v/>
      </c>
    </row>
    <row r="167" spans="8:38" x14ac:dyDescent="0.3">
      <c r="H167" t="str">
        <v/>
      </c>
      <c r="I167" t="str">
        <v/>
      </c>
      <c r="J167" t="str">
        <v/>
      </c>
      <c r="K167" t="str">
        <v/>
      </c>
      <c r="L167" t="str">
        <v/>
      </c>
      <c r="M167" t="str">
        <v/>
      </c>
      <c r="N167" t="str">
        <v/>
      </c>
      <c r="O167" t="str">
        <v/>
      </c>
      <c r="P167" t="str">
        <v/>
      </c>
      <c r="Q167" t="str">
        <v/>
      </c>
      <c r="R167" t="str">
        <v/>
      </c>
      <c r="S167" t="str">
        <v/>
      </c>
      <c r="T167" t="str">
        <v/>
      </c>
      <c r="U167" t="str">
        <v/>
      </c>
      <c r="V167" t="str">
        <v/>
      </c>
      <c r="W167" t="str">
        <v/>
      </c>
      <c r="X167" t="str">
        <v/>
      </c>
      <c r="Y167" t="str">
        <v/>
      </c>
      <c r="Z167" t="str">
        <v/>
      </c>
      <c r="AA167" t="str">
        <v/>
      </c>
      <c r="AB167" t="str">
        <v/>
      </c>
      <c r="AC167" t="str">
        <v/>
      </c>
      <c r="AD167" t="str">
        <v/>
      </c>
      <c r="AE167" t="str">
        <v/>
      </c>
      <c r="AF167" t="str">
        <v/>
      </c>
      <c r="AG167" t="str">
        <v/>
      </c>
      <c r="AH167" t="str">
        <v/>
      </c>
      <c r="AI167" t="str">
        <v/>
      </c>
      <c r="AJ167" t="str">
        <v/>
      </c>
      <c r="AK167" t="str">
        <v/>
      </c>
      <c r="AL167" t="str">
        <v/>
      </c>
    </row>
    <row r="168" spans="8:38" x14ac:dyDescent="0.3">
      <c r="H168" t="str">
        <v/>
      </c>
      <c r="I168" t="str">
        <v/>
      </c>
      <c r="J168" t="str">
        <v/>
      </c>
      <c r="K168" t="str">
        <v/>
      </c>
      <c r="L168" t="str">
        <v/>
      </c>
      <c r="M168" t="str">
        <v/>
      </c>
      <c r="N168" t="str">
        <v/>
      </c>
      <c r="O168" t="str">
        <v/>
      </c>
      <c r="P168" t="str">
        <v/>
      </c>
      <c r="Q168" t="str">
        <v/>
      </c>
      <c r="R168" t="str">
        <v/>
      </c>
      <c r="S168" t="str">
        <v/>
      </c>
      <c r="T168" t="str">
        <v/>
      </c>
      <c r="U168" t="str">
        <v/>
      </c>
      <c r="V168" t="str">
        <v/>
      </c>
      <c r="W168" t="str">
        <v/>
      </c>
      <c r="X168" t="str">
        <v/>
      </c>
      <c r="Y168" t="str">
        <v/>
      </c>
      <c r="Z168" t="str">
        <v/>
      </c>
      <c r="AA168" t="str">
        <v/>
      </c>
      <c r="AB168" t="str">
        <v/>
      </c>
      <c r="AC168" t="str">
        <v/>
      </c>
      <c r="AD168" t="str">
        <v/>
      </c>
      <c r="AE168" t="str">
        <v/>
      </c>
      <c r="AF168" t="str">
        <v/>
      </c>
      <c r="AG168" t="str">
        <v/>
      </c>
      <c r="AH168" t="str">
        <v/>
      </c>
      <c r="AI168" t="str">
        <v/>
      </c>
      <c r="AJ168" t="str">
        <v/>
      </c>
      <c r="AK168" t="str">
        <v/>
      </c>
      <c r="AL168" t="str">
        <v/>
      </c>
    </row>
    <row r="169" spans="8:38" x14ac:dyDescent="0.3">
      <c r="H169" t="str">
        <v/>
      </c>
      <c r="I169" t="str">
        <v/>
      </c>
      <c r="J169" t="str">
        <v/>
      </c>
      <c r="K169" t="str">
        <v/>
      </c>
      <c r="L169" t="str">
        <v/>
      </c>
      <c r="M169" t="str">
        <v/>
      </c>
      <c r="N169" t="str">
        <v/>
      </c>
      <c r="O169" t="str">
        <v/>
      </c>
      <c r="P169" t="str">
        <v/>
      </c>
      <c r="Q169" t="str">
        <v/>
      </c>
      <c r="R169" t="str">
        <v/>
      </c>
      <c r="S169" t="str">
        <v/>
      </c>
      <c r="T169" t="str">
        <v/>
      </c>
      <c r="U169" t="str">
        <v/>
      </c>
      <c r="V169" t="str">
        <v/>
      </c>
      <c r="W169" t="str">
        <v/>
      </c>
      <c r="X169" t="str">
        <v/>
      </c>
      <c r="Y169" t="str">
        <v/>
      </c>
      <c r="Z169" t="str">
        <v/>
      </c>
      <c r="AA169" t="str">
        <v/>
      </c>
      <c r="AB169" t="str">
        <v/>
      </c>
      <c r="AC169" t="str">
        <v/>
      </c>
      <c r="AD169" t="str">
        <v/>
      </c>
      <c r="AE169" t="str">
        <v/>
      </c>
      <c r="AF169" t="str">
        <v/>
      </c>
      <c r="AG169" t="str">
        <v/>
      </c>
      <c r="AH169" t="str">
        <v/>
      </c>
      <c r="AI169" t="str">
        <v/>
      </c>
      <c r="AJ169" t="str">
        <v/>
      </c>
      <c r="AK169" t="str">
        <v/>
      </c>
      <c r="AL169" t="str">
        <v/>
      </c>
    </row>
    <row r="170" spans="8:38" x14ac:dyDescent="0.3">
      <c r="H170" t="str">
        <v/>
      </c>
      <c r="I170" t="str">
        <v/>
      </c>
      <c r="J170" t="str">
        <v/>
      </c>
      <c r="K170" t="str">
        <v/>
      </c>
      <c r="L170" t="str">
        <v/>
      </c>
      <c r="M170" t="str">
        <v/>
      </c>
      <c r="N170" t="str">
        <v/>
      </c>
      <c r="O170" t="str">
        <v/>
      </c>
      <c r="P170" t="str">
        <v/>
      </c>
      <c r="Q170" t="str">
        <v/>
      </c>
      <c r="R170" t="str">
        <v/>
      </c>
      <c r="S170" t="str">
        <v/>
      </c>
      <c r="T170" t="str">
        <v/>
      </c>
      <c r="U170" t="str">
        <v/>
      </c>
      <c r="V170" t="str">
        <v/>
      </c>
      <c r="W170" t="str">
        <v/>
      </c>
      <c r="X170" t="str">
        <v/>
      </c>
      <c r="Y170" t="str">
        <v/>
      </c>
      <c r="Z170" t="str">
        <v/>
      </c>
      <c r="AA170" t="str">
        <v/>
      </c>
      <c r="AB170" t="str">
        <v/>
      </c>
      <c r="AC170" t="str">
        <v/>
      </c>
      <c r="AD170" t="str">
        <v/>
      </c>
      <c r="AE170" t="str">
        <v/>
      </c>
      <c r="AF170" t="str">
        <v/>
      </c>
      <c r="AG170" t="str">
        <v/>
      </c>
      <c r="AH170" t="str">
        <v/>
      </c>
      <c r="AI170" t="str">
        <v/>
      </c>
      <c r="AJ170" t="str">
        <v/>
      </c>
      <c r="AK170" t="str">
        <v/>
      </c>
      <c r="AL170" t="str">
        <v/>
      </c>
    </row>
    <row r="171" spans="8:38" x14ac:dyDescent="0.3">
      <c r="H171" t="str">
        <v/>
      </c>
      <c r="I171" t="str">
        <v/>
      </c>
      <c r="J171" t="str">
        <v/>
      </c>
      <c r="K171" t="str">
        <v/>
      </c>
      <c r="L171" t="str">
        <v/>
      </c>
      <c r="M171" t="str">
        <v/>
      </c>
      <c r="N171" t="str">
        <v/>
      </c>
      <c r="O171" t="str">
        <v/>
      </c>
      <c r="P171" t="str">
        <v/>
      </c>
      <c r="Q171" t="str">
        <v/>
      </c>
      <c r="R171" t="str">
        <v/>
      </c>
      <c r="S171" t="str">
        <v/>
      </c>
      <c r="T171" t="str">
        <v/>
      </c>
      <c r="U171" t="str">
        <v/>
      </c>
      <c r="V171" t="str">
        <v/>
      </c>
      <c r="W171" t="str">
        <v/>
      </c>
      <c r="X171" t="str">
        <v/>
      </c>
      <c r="Y171" t="str">
        <v/>
      </c>
      <c r="Z171" t="str">
        <v/>
      </c>
      <c r="AA171" t="str">
        <v/>
      </c>
      <c r="AB171" t="str">
        <v/>
      </c>
      <c r="AC171" t="str">
        <v/>
      </c>
      <c r="AD171" t="str">
        <v/>
      </c>
      <c r="AE171" t="str">
        <v/>
      </c>
      <c r="AF171" t="str">
        <v/>
      </c>
      <c r="AG171" t="str">
        <v/>
      </c>
      <c r="AH171" t="str">
        <v/>
      </c>
      <c r="AI171" t="str">
        <v/>
      </c>
      <c r="AJ171" t="str">
        <v/>
      </c>
      <c r="AK171" t="str">
        <v/>
      </c>
      <c r="AL171" t="str">
        <v/>
      </c>
    </row>
    <row r="172" spans="8:38" x14ac:dyDescent="0.3">
      <c r="H172" t="str">
        <v/>
      </c>
      <c r="I172" t="str">
        <v/>
      </c>
      <c r="J172" t="str">
        <v/>
      </c>
      <c r="K172" t="str">
        <v/>
      </c>
      <c r="L172" t="str">
        <v/>
      </c>
      <c r="M172" t="str">
        <v/>
      </c>
      <c r="N172" t="str">
        <v/>
      </c>
      <c r="O172" t="str">
        <v/>
      </c>
      <c r="P172" t="str">
        <v/>
      </c>
      <c r="Q172" t="str">
        <v/>
      </c>
      <c r="R172" t="str">
        <v/>
      </c>
      <c r="S172" t="str">
        <v/>
      </c>
      <c r="T172" t="str">
        <v/>
      </c>
      <c r="U172" t="str">
        <v/>
      </c>
      <c r="V172" t="str">
        <v/>
      </c>
      <c r="W172" t="str">
        <v/>
      </c>
      <c r="X172" t="str">
        <v/>
      </c>
      <c r="Y172" t="str">
        <v/>
      </c>
      <c r="Z172" t="str">
        <v/>
      </c>
      <c r="AA172" t="str">
        <v/>
      </c>
      <c r="AB172" t="str">
        <v/>
      </c>
      <c r="AC172" t="str">
        <v/>
      </c>
      <c r="AD172" t="str">
        <v/>
      </c>
      <c r="AE172" t="str">
        <v/>
      </c>
      <c r="AF172" t="str">
        <v/>
      </c>
      <c r="AG172" t="str">
        <v/>
      </c>
      <c r="AH172" t="str">
        <v/>
      </c>
      <c r="AI172" t="str">
        <v/>
      </c>
      <c r="AJ172" t="str">
        <v/>
      </c>
      <c r="AK172" t="str">
        <v/>
      </c>
      <c r="AL172" t="str">
        <v/>
      </c>
    </row>
    <row r="173" spans="8:38" x14ac:dyDescent="0.3">
      <c r="H173" t="str">
        <v/>
      </c>
      <c r="I173" t="str">
        <v/>
      </c>
      <c r="J173" t="str">
        <v/>
      </c>
      <c r="K173" t="str">
        <v/>
      </c>
      <c r="L173" t="str">
        <v/>
      </c>
      <c r="M173" t="str">
        <v/>
      </c>
      <c r="N173" t="str">
        <v/>
      </c>
      <c r="O173" t="str">
        <v/>
      </c>
      <c r="P173" t="str">
        <v/>
      </c>
      <c r="Q173" t="str">
        <v/>
      </c>
      <c r="R173" t="str">
        <v/>
      </c>
      <c r="S173" t="str">
        <v/>
      </c>
      <c r="T173" t="str">
        <v/>
      </c>
      <c r="U173" t="str">
        <v/>
      </c>
      <c r="V173" t="str">
        <v/>
      </c>
      <c r="W173" t="str">
        <v/>
      </c>
      <c r="X173" t="str">
        <v/>
      </c>
      <c r="Y173" t="str">
        <v/>
      </c>
      <c r="Z173" t="str">
        <v/>
      </c>
      <c r="AA173" t="str">
        <v/>
      </c>
      <c r="AB173" t="str">
        <v/>
      </c>
      <c r="AC173" t="str">
        <v/>
      </c>
      <c r="AD173" t="str">
        <v/>
      </c>
      <c r="AE173" t="str">
        <v/>
      </c>
      <c r="AF173" t="str">
        <v/>
      </c>
      <c r="AG173" t="str">
        <v/>
      </c>
      <c r="AH173" t="str">
        <v/>
      </c>
      <c r="AI173" t="str">
        <v/>
      </c>
      <c r="AJ173" t="str">
        <v/>
      </c>
      <c r="AK173" t="str">
        <v/>
      </c>
      <c r="AL173" t="str">
        <v/>
      </c>
    </row>
    <row r="174" spans="8:38" x14ac:dyDescent="0.3">
      <c r="H174" t="str">
        <v/>
      </c>
      <c r="I174" t="str">
        <v/>
      </c>
      <c r="J174" t="str">
        <v/>
      </c>
      <c r="K174" t="str">
        <v/>
      </c>
      <c r="L174" t="str">
        <v/>
      </c>
      <c r="M174" t="str">
        <v/>
      </c>
      <c r="N174" t="str">
        <v/>
      </c>
      <c r="O174" t="str">
        <v/>
      </c>
      <c r="P174" t="str">
        <v/>
      </c>
      <c r="Q174" t="str">
        <v/>
      </c>
      <c r="R174" t="str">
        <v/>
      </c>
      <c r="S174" t="str">
        <v/>
      </c>
      <c r="T174" t="str">
        <v/>
      </c>
      <c r="U174" t="str">
        <v/>
      </c>
      <c r="V174" t="str">
        <v/>
      </c>
      <c r="W174" t="str">
        <v/>
      </c>
      <c r="X174" t="str">
        <v/>
      </c>
      <c r="Y174" t="str">
        <v/>
      </c>
      <c r="Z174" t="str">
        <v/>
      </c>
      <c r="AA174" t="str">
        <v/>
      </c>
      <c r="AB174" t="str">
        <v/>
      </c>
      <c r="AC174" t="str">
        <v/>
      </c>
      <c r="AD174" t="str">
        <v/>
      </c>
      <c r="AE174" t="str">
        <v/>
      </c>
      <c r="AF174" t="str">
        <v/>
      </c>
      <c r="AG174" t="str">
        <v/>
      </c>
      <c r="AH174" t="str">
        <v/>
      </c>
      <c r="AI174" t="str">
        <v/>
      </c>
      <c r="AJ174" t="str">
        <v/>
      </c>
      <c r="AK174" t="str">
        <v/>
      </c>
      <c r="AL174" t="str">
        <v/>
      </c>
    </row>
    <row r="175" spans="8:38" x14ac:dyDescent="0.3">
      <c r="H175" t="str">
        <v/>
      </c>
      <c r="I175" t="str">
        <v/>
      </c>
      <c r="J175" t="str">
        <v/>
      </c>
      <c r="K175" t="str">
        <v/>
      </c>
      <c r="L175" t="str">
        <v/>
      </c>
      <c r="M175" t="str">
        <v/>
      </c>
      <c r="N175" t="str">
        <v/>
      </c>
      <c r="O175" t="str">
        <v/>
      </c>
      <c r="P175" t="str">
        <v/>
      </c>
      <c r="Q175" t="str">
        <v/>
      </c>
      <c r="R175" t="str">
        <v/>
      </c>
      <c r="S175" t="str">
        <v/>
      </c>
      <c r="T175" t="str">
        <v/>
      </c>
      <c r="U175" t="str">
        <v/>
      </c>
      <c r="V175" t="str">
        <v/>
      </c>
      <c r="W175" t="str">
        <v/>
      </c>
      <c r="X175" t="str">
        <v/>
      </c>
      <c r="Y175" t="str">
        <v/>
      </c>
      <c r="Z175" t="str">
        <v/>
      </c>
      <c r="AA175" t="str">
        <v/>
      </c>
      <c r="AB175" t="str">
        <v/>
      </c>
      <c r="AC175" t="str">
        <v/>
      </c>
      <c r="AD175" t="str">
        <v/>
      </c>
      <c r="AE175" t="str">
        <v/>
      </c>
      <c r="AF175" t="str">
        <v/>
      </c>
      <c r="AG175" t="str">
        <v/>
      </c>
      <c r="AH175" t="str">
        <v/>
      </c>
      <c r="AI175" t="str">
        <v/>
      </c>
      <c r="AJ175" t="str">
        <v/>
      </c>
      <c r="AK175" t="str">
        <v/>
      </c>
      <c r="AL175" t="str">
        <v/>
      </c>
    </row>
    <row r="176" spans="8:38" x14ac:dyDescent="0.3">
      <c r="H176" t="str">
        <v/>
      </c>
      <c r="I176" t="str">
        <v/>
      </c>
      <c r="J176" t="str">
        <v/>
      </c>
      <c r="K176" t="str">
        <v/>
      </c>
      <c r="L176" t="str">
        <v/>
      </c>
      <c r="M176" t="str">
        <v/>
      </c>
      <c r="N176" t="str">
        <v/>
      </c>
      <c r="O176" t="str">
        <v/>
      </c>
      <c r="P176" t="str">
        <v/>
      </c>
      <c r="Q176" t="str">
        <v/>
      </c>
      <c r="R176" t="str">
        <v/>
      </c>
      <c r="S176" t="str">
        <v/>
      </c>
      <c r="T176" t="str">
        <v/>
      </c>
      <c r="U176" t="str">
        <v/>
      </c>
      <c r="V176" t="str">
        <v/>
      </c>
      <c r="W176" t="str">
        <v/>
      </c>
      <c r="X176" t="str">
        <v/>
      </c>
      <c r="Y176" t="str">
        <v/>
      </c>
      <c r="Z176" t="str">
        <v/>
      </c>
      <c r="AA176" t="str">
        <v/>
      </c>
      <c r="AB176" t="str">
        <v/>
      </c>
      <c r="AC176" t="str">
        <v/>
      </c>
      <c r="AD176" t="str">
        <v/>
      </c>
      <c r="AE176" t="str">
        <v/>
      </c>
      <c r="AF176" t="str">
        <v/>
      </c>
      <c r="AG176" t="str">
        <v/>
      </c>
      <c r="AH176" t="str">
        <v/>
      </c>
      <c r="AI176" t="str">
        <v/>
      </c>
      <c r="AJ176" t="str">
        <v/>
      </c>
      <c r="AK176" t="str">
        <v/>
      </c>
      <c r="AL176" t="str">
        <v/>
      </c>
    </row>
    <row r="177" spans="8:38" x14ac:dyDescent="0.3">
      <c r="H177" t="str">
        <v/>
      </c>
      <c r="I177" t="str">
        <v/>
      </c>
      <c r="J177" t="str">
        <v/>
      </c>
      <c r="K177" t="str">
        <v/>
      </c>
      <c r="L177" t="str">
        <v/>
      </c>
      <c r="M177" t="str">
        <v/>
      </c>
      <c r="N177" t="str">
        <v/>
      </c>
      <c r="O177" t="str">
        <v/>
      </c>
      <c r="P177" t="str">
        <v/>
      </c>
      <c r="Q177" t="str">
        <v/>
      </c>
      <c r="R177" t="str">
        <v/>
      </c>
      <c r="S177" t="str">
        <v/>
      </c>
      <c r="T177" t="str">
        <v/>
      </c>
      <c r="U177" t="str">
        <v/>
      </c>
      <c r="V177" t="str">
        <v/>
      </c>
      <c r="W177" t="str">
        <v/>
      </c>
      <c r="X177" t="str">
        <v/>
      </c>
      <c r="Y177" t="str">
        <v/>
      </c>
      <c r="Z177" t="str">
        <v/>
      </c>
      <c r="AA177" t="str">
        <v/>
      </c>
      <c r="AB177" t="str">
        <v/>
      </c>
      <c r="AC177" t="str">
        <v/>
      </c>
      <c r="AD177" t="str">
        <v/>
      </c>
      <c r="AE177" t="str">
        <v/>
      </c>
      <c r="AF177" t="str">
        <v/>
      </c>
      <c r="AG177" t="str">
        <v/>
      </c>
      <c r="AH177" t="str">
        <v/>
      </c>
      <c r="AI177" t="str">
        <v/>
      </c>
      <c r="AJ177" t="str">
        <v/>
      </c>
      <c r="AK177" t="str">
        <v/>
      </c>
      <c r="AL177" t="str">
        <v/>
      </c>
    </row>
    <row r="178" spans="8:38" x14ac:dyDescent="0.3">
      <c r="H178" t="str">
        <v/>
      </c>
      <c r="I178" t="str">
        <v/>
      </c>
      <c r="J178" t="str">
        <v/>
      </c>
      <c r="K178" t="str">
        <v/>
      </c>
      <c r="L178" t="str">
        <v/>
      </c>
      <c r="M178" t="str">
        <v/>
      </c>
      <c r="N178" t="str">
        <v/>
      </c>
      <c r="O178" t="str">
        <v/>
      </c>
      <c r="P178" t="str">
        <v/>
      </c>
      <c r="Q178" t="str">
        <v/>
      </c>
      <c r="R178" t="str">
        <v/>
      </c>
      <c r="S178" t="str">
        <v/>
      </c>
      <c r="T178" t="str">
        <v/>
      </c>
      <c r="U178" t="str">
        <v/>
      </c>
      <c r="V178" t="str">
        <v/>
      </c>
      <c r="W178" t="str">
        <v/>
      </c>
      <c r="X178" t="str">
        <v/>
      </c>
      <c r="Y178" t="str">
        <v/>
      </c>
      <c r="Z178" t="str">
        <v/>
      </c>
      <c r="AA178" t="str">
        <v/>
      </c>
      <c r="AB178" t="str">
        <v/>
      </c>
      <c r="AC178" t="str">
        <v/>
      </c>
      <c r="AD178" t="str">
        <v/>
      </c>
      <c r="AE178" t="str">
        <v/>
      </c>
      <c r="AF178" t="str">
        <v/>
      </c>
      <c r="AG178" t="str">
        <v/>
      </c>
      <c r="AH178" t="str">
        <v/>
      </c>
      <c r="AI178" t="str">
        <v/>
      </c>
      <c r="AJ178" t="str">
        <v/>
      </c>
      <c r="AK178" t="str">
        <v/>
      </c>
      <c r="AL178" t="str">
        <v/>
      </c>
    </row>
    <row r="179" spans="8:38" x14ac:dyDescent="0.3">
      <c r="H179" t="str">
        <v/>
      </c>
      <c r="I179" t="str">
        <v/>
      </c>
      <c r="J179" t="str">
        <v/>
      </c>
      <c r="K179" t="str">
        <v/>
      </c>
      <c r="L179" t="str">
        <v/>
      </c>
      <c r="M179" t="str">
        <v/>
      </c>
      <c r="N179" t="str">
        <v/>
      </c>
      <c r="O179" t="str">
        <v/>
      </c>
      <c r="P179" t="str">
        <v/>
      </c>
      <c r="Q179" t="str">
        <v/>
      </c>
      <c r="R179" t="str">
        <v/>
      </c>
      <c r="S179" t="str">
        <v/>
      </c>
      <c r="T179" t="str">
        <v/>
      </c>
      <c r="U179" t="str">
        <v/>
      </c>
      <c r="V179" t="str">
        <v/>
      </c>
      <c r="W179" t="str">
        <v/>
      </c>
      <c r="X179" t="str">
        <v/>
      </c>
      <c r="Y179" t="str">
        <v/>
      </c>
      <c r="Z179" t="str">
        <v/>
      </c>
      <c r="AA179" t="str">
        <v/>
      </c>
      <c r="AB179" t="str">
        <v/>
      </c>
      <c r="AC179" t="str">
        <v/>
      </c>
      <c r="AD179" t="str">
        <v/>
      </c>
      <c r="AE179" t="str">
        <v/>
      </c>
      <c r="AF179" t="str">
        <v/>
      </c>
      <c r="AG179" t="str">
        <v/>
      </c>
      <c r="AH179" t="str">
        <v/>
      </c>
      <c r="AI179" t="str">
        <v/>
      </c>
      <c r="AJ179" t="str">
        <v/>
      </c>
      <c r="AK179" t="str">
        <v/>
      </c>
      <c r="AL179" t="str">
        <v/>
      </c>
    </row>
    <row r="180" spans="8:38" x14ac:dyDescent="0.3">
      <c r="H180" t="str">
        <v/>
      </c>
      <c r="I180" t="str">
        <v/>
      </c>
      <c r="J180" t="str">
        <v/>
      </c>
      <c r="K180" t="str">
        <v/>
      </c>
      <c r="L180" t="str">
        <v/>
      </c>
      <c r="M180" t="str">
        <v/>
      </c>
      <c r="N180" t="str">
        <v/>
      </c>
      <c r="O180" t="str">
        <v/>
      </c>
      <c r="P180" t="str">
        <v/>
      </c>
      <c r="Q180" t="str">
        <v/>
      </c>
      <c r="R180" t="str">
        <v/>
      </c>
      <c r="S180" t="str">
        <v/>
      </c>
      <c r="T180" t="str">
        <v/>
      </c>
      <c r="U180" t="str">
        <v/>
      </c>
      <c r="V180" t="str">
        <v/>
      </c>
      <c r="W180" t="str">
        <v/>
      </c>
      <c r="X180" t="str">
        <v/>
      </c>
      <c r="Y180" t="str">
        <v/>
      </c>
      <c r="Z180" t="str">
        <v/>
      </c>
      <c r="AA180" t="str">
        <v/>
      </c>
      <c r="AB180" t="str">
        <v/>
      </c>
      <c r="AC180" t="str">
        <v/>
      </c>
      <c r="AD180" t="str">
        <v/>
      </c>
      <c r="AE180" t="str">
        <v/>
      </c>
      <c r="AF180" t="str">
        <v/>
      </c>
      <c r="AG180" t="str">
        <v/>
      </c>
      <c r="AH180" t="str">
        <v/>
      </c>
      <c r="AI180" t="str">
        <v/>
      </c>
      <c r="AJ180" t="str">
        <v/>
      </c>
      <c r="AK180" t="str">
        <v/>
      </c>
      <c r="AL180" t="str">
        <v/>
      </c>
    </row>
    <row r="181" spans="8:38" x14ac:dyDescent="0.3">
      <c r="H181" t="str">
        <v/>
      </c>
      <c r="I181" t="str">
        <v/>
      </c>
      <c r="J181" t="str">
        <v/>
      </c>
      <c r="K181" t="str">
        <v/>
      </c>
      <c r="L181" t="str">
        <v/>
      </c>
      <c r="M181" t="str">
        <v/>
      </c>
      <c r="N181" t="str">
        <v/>
      </c>
      <c r="O181" t="str">
        <v/>
      </c>
      <c r="P181" t="str">
        <v/>
      </c>
      <c r="Q181" t="str">
        <v/>
      </c>
      <c r="R181" t="str">
        <v/>
      </c>
      <c r="S181" t="str">
        <v/>
      </c>
      <c r="T181" t="str">
        <v/>
      </c>
      <c r="U181" t="str">
        <v/>
      </c>
      <c r="V181" t="str">
        <v/>
      </c>
      <c r="W181" t="str">
        <v/>
      </c>
      <c r="X181" t="str">
        <v/>
      </c>
      <c r="Y181" t="str">
        <v/>
      </c>
      <c r="Z181" t="str">
        <v/>
      </c>
      <c r="AA181" t="str">
        <v/>
      </c>
      <c r="AB181" t="str">
        <v/>
      </c>
      <c r="AC181" t="str">
        <v/>
      </c>
      <c r="AD181" t="str">
        <v/>
      </c>
      <c r="AE181" t="str">
        <v/>
      </c>
      <c r="AF181" t="str">
        <v/>
      </c>
      <c r="AG181" t="str">
        <v/>
      </c>
      <c r="AH181" t="str">
        <v/>
      </c>
      <c r="AI181" t="str">
        <v/>
      </c>
      <c r="AJ181" t="str">
        <v/>
      </c>
      <c r="AK181" t="str">
        <v/>
      </c>
      <c r="AL181" t="str">
        <v/>
      </c>
    </row>
    <row r="182" spans="8:38" x14ac:dyDescent="0.3">
      <c r="H182" t="str">
        <v/>
      </c>
      <c r="I182" t="str">
        <v/>
      </c>
      <c r="J182" t="str">
        <v/>
      </c>
      <c r="K182" t="str">
        <v/>
      </c>
      <c r="L182" t="str">
        <v/>
      </c>
      <c r="M182" t="str">
        <v/>
      </c>
      <c r="N182" t="str">
        <v/>
      </c>
      <c r="O182" t="str">
        <v/>
      </c>
      <c r="P182" t="str">
        <v/>
      </c>
      <c r="Q182" t="str">
        <v/>
      </c>
      <c r="R182" t="str">
        <v/>
      </c>
      <c r="S182" t="str">
        <v/>
      </c>
      <c r="T182" t="str">
        <v/>
      </c>
      <c r="U182" t="str">
        <v/>
      </c>
      <c r="V182" t="str">
        <v/>
      </c>
      <c r="W182" t="str">
        <v/>
      </c>
      <c r="X182" t="str">
        <v/>
      </c>
      <c r="Y182" t="str">
        <v/>
      </c>
      <c r="Z182" t="str">
        <v/>
      </c>
      <c r="AA182" t="str">
        <v/>
      </c>
      <c r="AB182" t="str">
        <v/>
      </c>
      <c r="AC182" t="str">
        <v/>
      </c>
      <c r="AD182" t="str">
        <v/>
      </c>
      <c r="AE182" t="str">
        <v/>
      </c>
      <c r="AF182" t="str">
        <v/>
      </c>
      <c r="AG182" t="str">
        <v/>
      </c>
      <c r="AH182" t="str">
        <v/>
      </c>
      <c r="AI182" t="str">
        <v/>
      </c>
      <c r="AJ182" t="str">
        <v/>
      </c>
      <c r="AK182" t="str">
        <v/>
      </c>
      <c r="AL182" t="str">
        <v/>
      </c>
    </row>
    <row r="183" spans="8:38" x14ac:dyDescent="0.3">
      <c r="H183" t="str">
        <v/>
      </c>
      <c r="I183" t="str">
        <v/>
      </c>
      <c r="J183" t="str">
        <v/>
      </c>
      <c r="K183" t="str">
        <v/>
      </c>
      <c r="L183" t="str">
        <v/>
      </c>
      <c r="M183" t="str">
        <v/>
      </c>
      <c r="N183" t="str">
        <v/>
      </c>
      <c r="O183" t="str">
        <v/>
      </c>
      <c r="P183" t="str">
        <v/>
      </c>
      <c r="Q183" t="str">
        <v/>
      </c>
      <c r="R183" t="str">
        <v/>
      </c>
      <c r="S183" t="str">
        <v/>
      </c>
      <c r="T183" t="str">
        <v/>
      </c>
      <c r="U183" t="str">
        <v/>
      </c>
      <c r="V183" t="str">
        <v/>
      </c>
      <c r="W183" t="str">
        <v/>
      </c>
      <c r="X183" t="str">
        <v/>
      </c>
      <c r="Y183" t="str">
        <v/>
      </c>
      <c r="Z183" t="str">
        <v/>
      </c>
      <c r="AA183" t="str">
        <v/>
      </c>
      <c r="AB183" t="str">
        <v/>
      </c>
      <c r="AC183" t="str">
        <v/>
      </c>
      <c r="AD183" t="str">
        <v/>
      </c>
      <c r="AE183" t="str">
        <v/>
      </c>
      <c r="AF183" t="str">
        <v/>
      </c>
      <c r="AG183" t="str">
        <v/>
      </c>
      <c r="AH183" t="str">
        <v/>
      </c>
      <c r="AI183" t="str">
        <v/>
      </c>
      <c r="AJ183" t="str">
        <v/>
      </c>
      <c r="AK183" t="str">
        <v/>
      </c>
      <c r="AL183" t="str">
        <v/>
      </c>
    </row>
    <row r="184" spans="8:38" x14ac:dyDescent="0.3">
      <c r="H184" t="str">
        <v/>
      </c>
      <c r="I184" t="str">
        <v/>
      </c>
      <c r="J184" t="str">
        <v/>
      </c>
      <c r="K184" t="str">
        <v/>
      </c>
      <c r="L184" t="str">
        <v/>
      </c>
      <c r="M184" t="str">
        <v/>
      </c>
      <c r="N184" t="str">
        <v/>
      </c>
      <c r="O184" t="str">
        <v/>
      </c>
      <c r="P184" t="str">
        <v/>
      </c>
      <c r="Q184" t="str">
        <v/>
      </c>
      <c r="R184" t="str">
        <v/>
      </c>
      <c r="S184" t="str">
        <v/>
      </c>
      <c r="T184" t="str">
        <v/>
      </c>
      <c r="U184" t="str">
        <v/>
      </c>
      <c r="V184" t="str">
        <v/>
      </c>
      <c r="W184" t="str">
        <v/>
      </c>
      <c r="X184" t="str">
        <v/>
      </c>
      <c r="Y184" t="str">
        <v/>
      </c>
      <c r="Z184" t="str">
        <v/>
      </c>
      <c r="AA184" t="str">
        <v/>
      </c>
      <c r="AB184" t="str">
        <v/>
      </c>
      <c r="AC184" t="str">
        <v/>
      </c>
      <c r="AD184" t="str">
        <v/>
      </c>
      <c r="AE184" t="str">
        <v/>
      </c>
      <c r="AF184" t="str">
        <v/>
      </c>
      <c r="AG184" t="str">
        <v/>
      </c>
      <c r="AH184" t="str">
        <v/>
      </c>
      <c r="AI184" t="str">
        <v/>
      </c>
      <c r="AJ184" t="str">
        <v/>
      </c>
      <c r="AK184" t="str">
        <v/>
      </c>
      <c r="AL184" t="str">
        <v/>
      </c>
    </row>
    <row r="185" spans="8:38" x14ac:dyDescent="0.3">
      <c r="H185" t="str">
        <v/>
      </c>
      <c r="I185" t="str">
        <v/>
      </c>
      <c r="J185" t="str">
        <v/>
      </c>
      <c r="K185" t="str">
        <v/>
      </c>
      <c r="L185" t="str">
        <v/>
      </c>
      <c r="M185" t="str">
        <v/>
      </c>
      <c r="N185" t="str">
        <v/>
      </c>
      <c r="O185" t="str">
        <v/>
      </c>
      <c r="P185" t="str">
        <v/>
      </c>
      <c r="Q185" t="str">
        <v/>
      </c>
      <c r="R185" t="str">
        <v/>
      </c>
      <c r="S185" t="str">
        <v/>
      </c>
      <c r="T185" t="str">
        <v/>
      </c>
      <c r="U185" t="str">
        <v/>
      </c>
      <c r="V185" t="str">
        <v/>
      </c>
      <c r="W185" t="str">
        <v/>
      </c>
      <c r="X185" t="str">
        <v/>
      </c>
      <c r="Y185" t="str">
        <v/>
      </c>
      <c r="Z185" t="str">
        <v/>
      </c>
      <c r="AA185" t="str">
        <v/>
      </c>
      <c r="AB185" t="str">
        <v/>
      </c>
      <c r="AC185" t="str">
        <v/>
      </c>
      <c r="AD185" t="str">
        <v/>
      </c>
      <c r="AE185" t="str">
        <v/>
      </c>
      <c r="AF185" t="str">
        <v/>
      </c>
      <c r="AG185" t="str">
        <v/>
      </c>
      <c r="AH185" t="str">
        <v/>
      </c>
      <c r="AI185" t="str">
        <v/>
      </c>
      <c r="AJ185" t="str">
        <v/>
      </c>
      <c r="AK185" t="str">
        <v/>
      </c>
      <c r="AL185" t="str">
        <v/>
      </c>
    </row>
    <row r="186" spans="8:38" x14ac:dyDescent="0.3">
      <c r="H186" t="str">
        <v/>
      </c>
      <c r="I186" t="str">
        <v/>
      </c>
      <c r="J186" t="str">
        <v/>
      </c>
      <c r="K186" t="str">
        <v/>
      </c>
      <c r="L186" t="str">
        <v/>
      </c>
      <c r="M186" t="str">
        <v/>
      </c>
      <c r="N186" t="str">
        <v/>
      </c>
      <c r="O186" t="str">
        <v/>
      </c>
      <c r="P186" t="str">
        <v/>
      </c>
      <c r="Q186" t="str">
        <v/>
      </c>
      <c r="R186" t="str">
        <v/>
      </c>
      <c r="S186" t="str">
        <v/>
      </c>
      <c r="T186" t="str">
        <v/>
      </c>
      <c r="U186" t="str">
        <v/>
      </c>
      <c r="V186" t="str">
        <v/>
      </c>
      <c r="W186" t="str">
        <v/>
      </c>
      <c r="X186" t="str">
        <v/>
      </c>
      <c r="Y186" t="str">
        <v/>
      </c>
      <c r="Z186" t="str">
        <v/>
      </c>
      <c r="AA186" t="str">
        <v/>
      </c>
      <c r="AB186" t="str">
        <v/>
      </c>
      <c r="AC186" t="str">
        <v/>
      </c>
      <c r="AD186" t="str">
        <v/>
      </c>
      <c r="AE186" t="str">
        <v/>
      </c>
      <c r="AF186" t="str">
        <v/>
      </c>
      <c r="AG186" t="str">
        <v/>
      </c>
      <c r="AH186" t="str">
        <v/>
      </c>
      <c r="AI186" t="str">
        <v/>
      </c>
      <c r="AJ186" t="str">
        <v/>
      </c>
      <c r="AK186" t="str">
        <v/>
      </c>
      <c r="AL186" t="str">
        <v/>
      </c>
    </row>
    <row r="187" spans="8:38" x14ac:dyDescent="0.3">
      <c r="H187" t="str">
        <v/>
      </c>
      <c r="I187" t="str">
        <v/>
      </c>
      <c r="J187" t="str">
        <v/>
      </c>
      <c r="K187" t="str">
        <v/>
      </c>
      <c r="L187" t="str">
        <v/>
      </c>
      <c r="M187" t="str">
        <v/>
      </c>
      <c r="N187" t="str">
        <v/>
      </c>
      <c r="O187" t="str">
        <v/>
      </c>
      <c r="P187" t="str">
        <v/>
      </c>
      <c r="Q187" t="str">
        <v/>
      </c>
      <c r="R187" t="str">
        <v/>
      </c>
      <c r="S187" t="str">
        <v/>
      </c>
      <c r="T187" t="str">
        <v/>
      </c>
      <c r="U187" t="str">
        <v/>
      </c>
      <c r="V187" t="str">
        <v/>
      </c>
      <c r="W187" t="str">
        <v/>
      </c>
      <c r="X187" t="str">
        <v/>
      </c>
      <c r="Y187" t="str">
        <v/>
      </c>
      <c r="Z187" t="str">
        <v/>
      </c>
      <c r="AA187" t="str">
        <v/>
      </c>
      <c r="AB187" t="str">
        <v/>
      </c>
      <c r="AC187" t="str">
        <v/>
      </c>
      <c r="AD187" t="str">
        <v/>
      </c>
      <c r="AE187" t="str">
        <v/>
      </c>
      <c r="AF187" t="str">
        <v/>
      </c>
      <c r="AG187" t="str">
        <v/>
      </c>
      <c r="AH187" t="str">
        <v/>
      </c>
      <c r="AI187" t="str">
        <v/>
      </c>
      <c r="AJ187" t="str">
        <v/>
      </c>
      <c r="AK187" t="str">
        <v/>
      </c>
      <c r="AL187" t="str">
        <v/>
      </c>
    </row>
    <row r="188" spans="8:38" x14ac:dyDescent="0.3">
      <c r="H188" t="str">
        <v/>
      </c>
      <c r="I188" t="str">
        <v/>
      </c>
      <c r="J188" t="str">
        <v/>
      </c>
      <c r="K188" t="str">
        <v/>
      </c>
      <c r="L188" t="str">
        <v/>
      </c>
      <c r="M188" t="str">
        <v/>
      </c>
      <c r="N188" t="str">
        <v/>
      </c>
      <c r="O188" t="str">
        <v/>
      </c>
      <c r="P188" t="str">
        <v/>
      </c>
      <c r="Q188" t="str">
        <v/>
      </c>
      <c r="R188" t="str">
        <v/>
      </c>
      <c r="S188" t="str">
        <v/>
      </c>
      <c r="T188" t="str">
        <v/>
      </c>
      <c r="U188" t="str">
        <v/>
      </c>
      <c r="V188" t="str">
        <v/>
      </c>
      <c r="W188" t="str">
        <v/>
      </c>
      <c r="X188" t="str">
        <v/>
      </c>
      <c r="Y188" t="str">
        <v/>
      </c>
      <c r="Z188" t="str">
        <v/>
      </c>
      <c r="AA188" t="str">
        <v/>
      </c>
      <c r="AB188" t="str">
        <v/>
      </c>
      <c r="AC188" t="str">
        <v/>
      </c>
      <c r="AD188" t="str">
        <v/>
      </c>
      <c r="AE188" t="str">
        <v/>
      </c>
      <c r="AF188" t="str">
        <v/>
      </c>
      <c r="AG188" t="str">
        <v/>
      </c>
      <c r="AH188" t="str">
        <v/>
      </c>
      <c r="AI188" t="str">
        <v/>
      </c>
      <c r="AJ188" t="str">
        <v/>
      </c>
      <c r="AK188" t="str">
        <v/>
      </c>
      <c r="AL188" t="str">
        <v/>
      </c>
    </row>
    <row r="189" spans="8:38" x14ac:dyDescent="0.3">
      <c r="H189" t="str">
        <v/>
      </c>
      <c r="I189" t="str">
        <v/>
      </c>
      <c r="J189" t="str">
        <v/>
      </c>
      <c r="K189" t="str">
        <v/>
      </c>
      <c r="L189" t="str">
        <v/>
      </c>
      <c r="M189" t="str">
        <v/>
      </c>
      <c r="N189" t="str">
        <v/>
      </c>
      <c r="O189" t="str">
        <v/>
      </c>
      <c r="P189" t="str">
        <v/>
      </c>
      <c r="Q189" t="str">
        <v/>
      </c>
      <c r="R189" t="str">
        <v/>
      </c>
      <c r="S189" t="str">
        <v/>
      </c>
      <c r="T189" t="str">
        <v/>
      </c>
      <c r="U189" t="str">
        <v/>
      </c>
      <c r="V189" t="str">
        <v/>
      </c>
      <c r="W189" t="str">
        <v/>
      </c>
      <c r="X189" t="str">
        <v/>
      </c>
      <c r="Y189" t="str">
        <v/>
      </c>
      <c r="Z189" t="str">
        <v/>
      </c>
      <c r="AA189" t="str">
        <v/>
      </c>
      <c r="AB189" t="str">
        <v/>
      </c>
      <c r="AC189" t="str">
        <v/>
      </c>
      <c r="AD189" t="str">
        <v/>
      </c>
      <c r="AE189" t="str">
        <v/>
      </c>
      <c r="AF189" t="str">
        <v/>
      </c>
      <c r="AG189" t="str">
        <v/>
      </c>
      <c r="AH189" t="str">
        <v/>
      </c>
      <c r="AI189" t="str">
        <v/>
      </c>
      <c r="AJ189" t="str">
        <v/>
      </c>
      <c r="AK189" t="str">
        <v/>
      </c>
      <c r="AL189" t="str">
        <v/>
      </c>
    </row>
    <row r="190" spans="8:38" x14ac:dyDescent="0.3">
      <c r="H190" t="str">
        <v/>
      </c>
      <c r="I190" t="str">
        <v/>
      </c>
      <c r="J190" t="str">
        <v/>
      </c>
      <c r="K190" t="str">
        <v/>
      </c>
      <c r="L190" t="str">
        <v/>
      </c>
      <c r="M190" t="str">
        <v/>
      </c>
      <c r="N190" t="str">
        <v/>
      </c>
      <c r="O190" t="str">
        <v/>
      </c>
      <c r="P190" t="str">
        <v/>
      </c>
      <c r="Q190" t="str">
        <v/>
      </c>
      <c r="R190" t="str">
        <v/>
      </c>
      <c r="S190" t="str">
        <v/>
      </c>
      <c r="T190" t="str">
        <v/>
      </c>
      <c r="U190" t="str">
        <v/>
      </c>
      <c r="V190" t="str">
        <v/>
      </c>
      <c r="W190" t="str">
        <v/>
      </c>
      <c r="X190" t="str">
        <v/>
      </c>
      <c r="Y190" t="str">
        <v/>
      </c>
      <c r="Z190" t="str">
        <v/>
      </c>
      <c r="AA190" t="str">
        <v/>
      </c>
      <c r="AB190" t="str">
        <v/>
      </c>
      <c r="AC190" t="str">
        <v/>
      </c>
      <c r="AD190" t="str">
        <v/>
      </c>
      <c r="AE190" t="str">
        <v/>
      </c>
      <c r="AF190" t="str">
        <v/>
      </c>
      <c r="AG190" t="str">
        <v/>
      </c>
      <c r="AH190" t="str">
        <v/>
      </c>
      <c r="AI190" t="str">
        <v/>
      </c>
      <c r="AJ190" t="str">
        <v/>
      </c>
      <c r="AK190" t="str">
        <v/>
      </c>
      <c r="AL190" t="str">
        <v/>
      </c>
    </row>
    <row r="191" spans="8:38" x14ac:dyDescent="0.3">
      <c r="H191" t="str">
        <v/>
      </c>
      <c r="I191" t="str">
        <v/>
      </c>
      <c r="J191" t="str">
        <v/>
      </c>
      <c r="K191" t="str">
        <v/>
      </c>
      <c r="L191" t="str">
        <v/>
      </c>
      <c r="M191" t="str">
        <v/>
      </c>
      <c r="N191" t="str">
        <v/>
      </c>
      <c r="O191" t="str">
        <v/>
      </c>
      <c r="P191" t="str">
        <v/>
      </c>
      <c r="Q191" t="str">
        <v/>
      </c>
      <c r="R191" t="str">
        <v/>
      </c>
      <c r="S191" t="str">
        <v/>
      </c>
      <c r="T191" t="str">
        <v/>
      </c>
      <c r="U191" t="str">
        <v/>
      </c>
      <c r="V191" t="str">
        <v/>
      </c>
      <c r="W191" t="str">
        <v/>
      </c>
      <c r="X191" t="str">
        <v/>
      </c>
      <c r="Y191" t="str">
        <v/>
      </c>
      <c r="Z191" t="str">
        <v/>
      </c>
      <c r="AA191" t="str">
        <v/>
      </c>
      <c r="AB191" t="str">
        <v/>
      </c>
      <c r="AC191" t="str">
        <v/>
      </c>
      <c r="AD191" t="str">
        <v/>
      </c>
      <c r="AE191" t="str">
        <v/>
      </c>
      <c r="AF191" t="str">
        <v/>
      </c>
      <c r="AG191" t="str">
        <v/>
      </c>
      <c r="AH191" t="str">
        <v/>
      </c>
      <c r="AI191" t="str">
        <v/>
      </c>
      <c r="AJ191" t="str">
        <v/>
      </c>
      <c r="AK191" t="str">
        <v/>
      </c>
      <c r="AL191" t="str">
        <v/>
      </c>
    </row>
    <row r="192" spans="8:38" x14ac:dyDescent="0.3">
      <c r="H192" t="str">
        <v/>
      </c>
      <c r="I192" t="str">
        <v/>
      </c>
      <c r="J192" t="str">
        <v/>
      </c>
      <c r="K192" t="str">
        <v/>
      </c>
      <c r="L192" t="str">
        <v/>
      </c>
      <c r="M192" t="str">
        <v/>
      </c>
      <c r="N192" t="str">
        <v/>
      </c>
      <c r="O192" t="str">
        <v/>
      </c>
      <c r="P192" t="str">
        <v/>
      </c>
      <c r="Q192" t="str">
        <v/>
      </c>
      <c r="R192" t="str">
        <v/>
      </c>
      <c r="S192" t="str">
        <v/>
      </c>
      <c r="T192" t="str">
        <v/>
      </c>
      <c r="U192" t="str">
        <v/>
      </c>
      <c r="V192" t="str">
        <v/>
      </c>
      <c r="W192" t="str">
        <v/>
      </c>
      <c r="X192" t="str">
        <v/>
      </c>
      <c r="Y192" t="str">
        <v/>
      </c>
      <c r="Z192" t="str">
        <v/>
      </c>
      <c r="AA192" t="str">
        <v/>
      </c>
      <c r="AB192" t="str">
        <v/>
      </c>
      <c r="AC192" t="str">
        <v/>
      </c>
      <c r="AD192" t="str">
        <v/>
      </c>
      <c r="AE192" t="str">
        <v/>
      </c>
      <c r="AF192" t="str">
        <v/>
      </c>
      <c r="AG192" t="str">
        <v/>
      </c>
      <c r="AH192" t="str">
        <v/>
      </c>
      <c r="AI192" t="str">
        <v/>
      </c>
      <c r="AJ192" t="str">
        <v/>
      </c>
      <c r="AK192" t="str">
        <v/>
      </c>
      <c r="AL192" t="str">
        <v/>
      </c>
    </row>
    <row r="193" spans="8:38" x14ac:dyDescent="0.3">
      <c r="H193" t="str">
        <v/>
      </c>
      <c r="I193" t="str">
        <v/>
      </c>
      <c r="J193" t="str">
        <v/>
      </c>
      <c r="K193" t="str">
        <v/>
      </c>
      <c r="L193" t="str">
        <v/>
      </c>
      <c r="M193" t="str">
        <v/>
      </c>
      <c r="N193" t="str">
        <v/>
      </c>
      <c r="O193" t="str">
        <v/>
      </c>
      <c r="P193" t="str">
        <v/>
      </c>
      <c r="Q193" t="str">
        <v/>
      </c>
      <c r="R193" t="str">
        <v/>
      </c>
      <c r="S193" t="str">
        <v/>
      </c>
      <c r="T193" t="str">
        <v/>
      </c>
      <c r="U193" t="str">
        <v/>
      </c>
      <c r="V193" t="str">
        <v/>
      </c>
      <c r="W193" t="str">
        <v/>
      </c>
      <c r="X193" t="str">
        <v/>
      </c>
      <c r="Y193" t="str">
        <v/>
      </c>
      <c r="Z193" t="str">
        <v/>
      </c>
      <c r="AA193" t="str">
        <v/>
      </c>
      <c r="AB193" t="str">
        <v/>
      </c>
      <c r="AC193" t="str">
        <v/>
      </c>
      <c r="AD193" t="str">
        <v/>
      </c>
      <c r="AE193" t="str">
        <v/>
      </c>
      <c r="AF193" t="str">
        <v/>
      </c>
      <c r="AG193" t="str">
        <v/>
      </c>
      <c r="AH193" t="str">
        <v/>
      </c>
      <c r="AI193" t="str">
        <v/>
      </c>
      <c r="AJ193" t="str">
        <v/>
      </c>
      <c r="AK193" t="str">
        <v/>
      </c>
      <c r="AL193" t="str">
        <v/>
      </c>
    </row>
    <row r="194" spans="8:38" x14ac:dyDescent="0.3">
      <c r="H194" t="str">
        <v/>
      </c>
      <c r="I194" t="str">
        <v/>
      </c>
      <c r="J194" t="str">
        <v/>
      </c>
      <c r="K194" t="str">
        <v/>
      </c>
      <c r="L194" t="str">
        <v/>
      </c>
      <c r="M194" t="str">
        <v/>
      </c>
      <c r="N194" t="str">
        <v/>
      </c>
      <c r="O194" t="str">
        <v/>
      </c>
      <c r="P194" t="str">
        <v/>
      </c>
      <c r="Q194" t="str">
        <v/>
      </c>
      <c r="R194" t="str">
        <v/>
      </c>
      <c r="S194" t="str">
        <v/>
      </c>
      <c r="T194" t="str">
        <v/>
      </c>
      <c r="U194" t="str">
        <v/>
      </c>
      <c r="V194" t="str">
        <v/>
      </c>
      <c r="W194" t="str">
        <v/>
      </c>
      <c r="X194" t="str">
        <v/>
      </c>
      <c r="Y194" t="str">
        <v/>
      </c>
      <c r="Z194" t="str">
        <v/>
      </c>
      <c r="AA194" t="str">
        <v/>
      </c>
      <c r="AB194" t="str">
        <v/>
      </c>
      <c r="AC194" t="str">
        <v/>
      </c>
      <c r="AD194" t="str">
        <v/>
      </c>
      <c r="AE194" t="str">
        <v/>
      </c>
      <c r="AF194" t="str">
        <v/>
      </c>
      <c r="AG194" t="str">
        <v/>
      </c>
      <c r="AH194" t="str">
        <v/>
      </c>
      <c r="AI194" t="str">
        <v/>
      </c>
      <c r="AJ194" t="str">
        <v/>
      </c>
      <c r="AK194" t="str">
        <v/>
      </c>
      <c r="AL194" t="str">
        <v/>
      </c>
    </row>
    <row r="195" spans="8:38" x14ac:dyDescent="0.3">
      <c r="H195" t="str">
        <v/>
      </c>
      <c r="I195" t="str">
        <v/>
      </c>
      <c r="J195" t="str">
        <v/>
      </c>
      <c r="K195" t="str">
        <v/>
      </c>
      <c r="L195" t="str">
        <v/>
      </c>
      <c r="M195" t="str">
        <v/>
      </c>
      <c r="N195" t="str">
        <v/>
      </c>
      <c r="O195" t="str">
        <v/>
      </c>
      <c r="P195" t="str">
        <v/>
      </c>
      <c r="Q195" t="str">
        <v/>
      </c>
      <c r="R195" t="str">
        <v/>
      </c>
      <c r="S195" t="str">
        <v/>
      </c>
      <c r="T195" t="str">
        <v/>
      </c>
      <c r="U195" t="str">
        <v/>
      </c>
      <c r="V195" t="str">
        <v/>
      </c>
      <c r="W195" t="str">
        <v/>
      </c>
      <c r="X195" t="str">
        <v/>
      </c>
      <c r="Y195" t="str">
        <v/>
      </c>
      <c r="Z195" t="str">
        <v/>
      </c>
      <c r="AA195" t="str">
        <v/>
      </c>
      <c r="AB195" t="str">
        <v/>
      </c>
      <c r="AC195" t="str">
        <v/>
      </c>
      <c r="AD195" t="str">
        <v/>
      </c>
      <c r="AE195" t="str">
        <v/>
      </c>
      <c r="AF195" t="str">
        <v/>
      </c>
      <c r="AG195" t="str">
        <v/>
      </c>
      <c r="AH195" t="str">
        <v/>
      </c>
      <c r="AI195" t="str">
        <v/>
      </c>
      <c r="AJ195" t="str">
        <v/>
      </c>
      <c r="AK195" t="str">
        <v/>
      </c>
      <c r="AL195" t="str">
        <v/>
      </c>
    </row>
    <row r="196" spans="8:38" x14ac:dyDescent="0.3">
      <c r="H196" t="str">
        <v/>
      </c>
      <c r="I196" t="str">
        <v/>
      </c>
      <c r="J196" t="str">
        <v/>
      </c>
      <c r="K196" t="str">
        <v/>
      </c>
      <c r="L196" t="str">
        <v/>
      </c>
      <c r="M196" t="str">
        <v/>
      </c>
      <c r="N196" t="str">
        <v/>
      </c>
      <c r="O196" t="str">
        <v/>
      </c>
      <c r="P196" t="str">
        <v/>
      </c>
      <c r="Q196" t="str">
        <v/>
      </c>
      <c r="R196" t="str">
        <v/>
      </c>
      <c r="S196" t="str">
        <v/>
      </c>
      <c r="T196" t="str">
        <v/>
      </c>
      <c r="U196" t="str">
        <v/>
      </c>
      <c r="V196" t="str">
        <v/>
      </c>
      <c r="W196" t="str">
        <v/>
      </c>
      <c r="X196" t="str">
        <v/>
      </c>
      <c r="Y196" t="str">
        <v/>
      </c>
      <c r="Z196" t="str">
        <v/>
      </c>
      <c r="AA196" t="str">
        <v/>
      </c>
      <c r="AB196" t="str">
        <v/>
      </c>
      <c r="AC196" t="str">
        <v/>
      </c>
      <c r="AD196" t="str">
        <v/>
      </c>
      <c r="AE196" t="str">
        <v/>
      </c>
      <c r="AF196" t="str">
        <v/>
      </c>
      <c r="AG196" t="str">
        <v/>
      </c>
      <c r="AH196" t="str">
        <v/>
      </c>
      <c r="AI196" t="str">
        <v/>
      </c>
      <c r="AJ196" t="str">
        <v/>
      </c>
      <c r="AK196" t="str">
        <v/>
      </c>
      <c r="AL196" t="str">
        <v/>
      </c>
    </row>
    <row r="197" spans="8:38" x14ac:dyDescent="0.3">
      <c r="H197" t="str">
        <v/>
      </c>
      <c r="I197" t="str">
        <v/>
      </c>
      <c r="J197" t="str">
        <v/>
      </c>
      <c r="K197" t="str">
        <v/>
      </c>
      <c r="L197" t="str">
        <v/>
      </c>
      <c r="M197" t="str">
        <v/>
      </c>
      <c r="N197" t="str">
        <v/>
      </c>
      <c r="O197" t="str">
        <v/>
      </c>
      <c r="P197" t="str">
        <v/>
      </c>
      <c r="Q197" t="str">
        <v/>
      </c>
      <c r="R197" t="str">
        <v/>
      </c>
      <c r="S197" t="str">
        <v/>
      </c>
      <c r="T197" t="str">
        <v/>
      </c>
      <c r="U197" t="str">
        <v/>
      </c>
      <c r="V197" t="str">
        <v/>
      </c>
      <c r="W197" t="str">
        <v/>
      </c>
      <c r="X197" t="str">
        <v/>
      </c>
      <c r="Y197" t="str">
        <v/>
      </c>
      <c r="Z197" t="str">
        <v/>
      </c>
      <c r="AA197" t="str">
        <v/>
      </c>
      <c r="AB197" t="str">
        <v/>
      </c>
      <c r="AC197" t="str">
        <v/>
      </c>
      <c r="AD197" t="str">
        <v/>
      </c>
      <c r="AE197" t="str">
        <v/>
      </c>
      <c r="AF197" t="str">
        <v/>
      </c>
      <c r="AG197" t="str">
        <v/>
      </c>
      <c r="AH197" t="str">
        <v/>
      </c>
      <c r="AI197" t="str">
        <v/>
      </c>
      <c r="AJ197" t="str">
        <v/>
      </c>
      <c r="AK197" t="str">
        <v/>
      </c>
      <c r="AL197" t="str">
        <v/>
      </c>
    </row>
    <row r="198" spans="8:38" x14ac:dyDescent="0.3">
      <c r="H198" t="str">
        <v/>
      </c>
      <c r="I198" t="str">
        <v/>
      </c>
      <c r="J198" t="str">
        <v/>
      </c>
      <c r="K198" t="str">
        <v/>
      </c>
      <c r="L198" t="str">
        <v/>
      </c>
      <c r="M198" t="str">
        <v/>
      </c>
      <c r="N198" t="str">
        <v/>
      </c>
      <c r="O198" t="str">
        <v/>
      </c>
      <c r="P198" t="str">
        <v/>
      </c>
      <c r="Q198" t="str">
        <v/>
      </c>
      <c r="R198" t="str">
        <v/>
      </c>
      <c r="S198" t="str">
        <v/>
      </c>
      <c r="T198" t="str">
        <v/>
      </c>
      <c r="U198" t="str">
        <v/>
      </c>
      <c r="V198" t="str">
        <v/>
      </c>
      <c r="W198" t="str">
        <v/>
      </c>
      <c r="X198" t="str">
        <v/>
      </c>
      <c r="Y198" t="str">
        <v/>
      </c>
      <c r="Z198" t="str">
        <v/>
      </c>
      <c r="AA198" t="str">
        <v/>
      </c>
      <c r="AB198" t="str">
        <v/>
      </c>
      <c r="AC198" t="str">
        <v/>
      </c>
      <c r="AD198" t="str">
        <v/>
      </c>
      <c r="AE198" t="str">
        <v/>
      </c>
      <c r="AF198" t="str">
        <v/>
      </c>
      <c r="AG198" t="str">
        <v/>
      </c>
      <c r="AH198" t="str">
        <v/>
      </c>
      <c r="AI198" t="str">
        <v/>
      </c>
      <c r="AJ198" t="str">
        <v/>
      </c>
      <c r="AK198" t="str">
        <v/>
      </c>
      <c r="AL198" t="str">
        <v/>
      </c>
    </row>
    <row r="199" spans="8:38" x14ac:dyDescent="0.3">
      <c r="H199" t="str">
        <v/>
      </c>
      <c r="I199" t="str">
        <v/>
      </c>
      <c r="J199" t="str">
        <v/>
      </c>
      <c r="K199" t="str">
        <v/>
      </c>
      <c r="L199" t="str">
        <v/>
      </c>
      <c r="M199" t="str">
        <v/>
      </c>
      <c r="N199" t="str">
        <v/>
      </c>
      <c r="O199" t="str">
        <v/>
      </c>
      <c r="P199" t="str">
        <v/>
      </c>
      <c r="Q199" t="str">
        <v/>
      </c>
      <c r="R199" t="str">
        <v/>
      </c>
      <c r="S199" t="str">
        <v/>
      </c>
      <c r="T199" t="str">
        <v/>
      </c>
      <c r="U199" t="str">
        <v/>
      </c>
      <c r="V199" t="str">
        <v/>
      </c>
      <c r="W199" t="str">
        <v/>
      </c>
      <c r="X199" t="str">
        <v/>
      </c>
      <c r="Y199" t="str">
        <v/>
      </c>
      <c r="Z199" t="str">
        <v/>
      </c>
      <c r="AA199" t="str">
        <v/>
      </c>
      <c r="AB199" t="str">
        <v/>
      </c>
      <c r="AC199" t="str">
        <v/>
      </c>
      <c r="AD199" t="str">
        <v/>
      </c>
      <c r="AE199" t="str">
        <v/>
      </c>
      <c r="AF199" t="str">
        <v/>
      </c>
      <c r="AG199" t="str">
        <v/>
      </c>
      <c r="AH199" t="str">
        <v/>
      </c>
      <c r="AI199" t="str">
        <v/>
      </c>
      <c r="AJ199" t="str">
        <v/>
      </c>
      <c r="AK199" t="str">
        <v/>
      </c>
      <c r="AL199" t="str">
        <v/>
      </c>
    </row>
    <row r="200" spans="8:38" x14ac:dyDescent="0.3">
      <c r="H200" t="str">
        <v/>
      </c>
      <c r="I200" t="str">
        <v/>
      </c>
      <c r="J200" t="str">
        <v/>
      </c>
      <c r="K200" t="str">
        <v/>
      </c>
      <c r="L200" t="str">
        <v/>
      </c>
      <c r="M200" t="str">
        <v/>
      </c>
      <c r="N200" t="str">
        <v/>
      </c>
      <c r="O200" t="str">
        <v/>
      </c>
      <c r="P200" t="str">
        <v/>
      </c>
      <c r="Q200" t="str">
        <v/>
      </c>
      <c r="R200" t="str">
        <v/>
      </c>
      <c r="S200" t="str">
        <v/>
      </c>
      <c r="T200" t="str">
        <v/>
      </c>
      <c r="U200" t="str">
        <v/>
      </c>
      <c r="V200" t="str">
        <v/>
      </c>
      <c r="W200" t="str">
        <v/>
      </c>
      <c r="X200" t="str">
        <v/>
      </c>
      <c r="Y200" t="str">
        <v/>
      </c>
      <c r="Z200" t="str">
        <v/>
      </c>
      <c r="AA200" t="str">
        <v/>
      </c>
      <c r="AB200" t="str">
        <v/>
      </c>
      <c r="AC200" t="str">
        <v/>
      </c>
      <c r="AD200" t="str">
        <v/>
      </c>
      <c r="AE200" t="str">
        <v/>
      </c>
      <c r="AF200" t="str">
        <v/>
      </c>
      <c r="AG200" t="str">
        <v/>
      </c>
      <c r="AH200" t="str">
        <v/>
      </c>
      <c r="AI200" t="str">
        <v/>
      </c>
      <c r="AJ200" t="str">
        <v/>
      </c>
      <c r="AK200" t="str">
        <v/>
      </c>
      <c r="AL200" t="str">
        <v/>
      </c>
    </row>
    <row r="201" spans="8:38" x14ac:dyDescent="0.3">
      <c r="H201" t="str">
        <v/>
      </c>
      <c r="I201" t="str">
        <v/>
      </c>
      <c r="J201" t="str">
        <v/>
      </c>
      <c r="K201" t="str">
        <v/>
      </c>
      <c r="L201" t="str">
        <v/>
      </c>
      <c r="M201" t="str">
        <v/>
      </c>
      <c r="N201" t="str">
        <v/>
      </c>
      <c r="O201" t="str">
        <v/>
      </c>
      <c r="P201" t="str">
        <v/>
      </c>
      <c r="Q201" t="str">
        <v/>
      </c>
      <c r="R201" t="str">
        <v/>
      </c>
      <c r="S201" t="str">
        <v/>
      </c>
      <c r="T201" t="str">
        <v/>
      </c>
      <c r="U201" t="str">
        <v/>
      </c>
      <c r="V201" t="str">
        <v/>
      </c>
      <c r="W201" t="str">
        <v/>
      </c>
      <c r="X201" t="str">
        <v/>
      </c>
      <c r="Y201" t="str">
        <v/>
      </c>
      <c r="Z201" t="str">
        <v/>
      </c>
      <c r="AA201" t="str">
        <v/>
      </c>
      <c r="AB201" t="str">
        <v/>
      </c>
      <c r="AC201" t="str">
        <v/>
      </c>
      <c r="AD201" t="str">
        <v/>
      </c>
      <c r="AE201" t="str">
        <v/>
      </c>
      <c r="AF201" t="str">
        <v/>
      </c>
      <c r="AG201" t="str">
        <v/>
      </c>
      <c r="AH201" t="str">
        <v/>
      </c>
      <c r="AI201" t="str">
        <v/>
      </c>
      <c r="AJ201" t="str">
        <v/>
      </c>
      <c r="AK201" t="str">
        <v/>
      </c>
      <c r="AL201" t="str">
        <v/>
      </c>
    </row>
    <row r="202" spans="8:38" x14ac:dyDescent="0.3">
      <c r="H202" t="str">
        <v/>
      </c>
      <c r="I202" t="str">
        <v/>
      </c>
      <c r="J202" t="str">
        <v/>
      </c>
      <c r="K202" t="str">
        <v/>
      </c>
      <c r="L202" t="str">
        <v/>
      </c>
      <c r="M202" t="str">
        <v/>
      </c>
      <c r="N202" t="str">
        <v/>
      </c>
      <c r="O202" t="str">
        <v/>
      </c>
      <c r="P202" t="str">
        <v/>
      </c>
      <c r="Q202" t="str">
        <v/>
      </c>
      <c r="R202" t="str">
        <v/>
      </c>
      <c r="S202" t="str">
        <v/>
      </c>
      <c r="T202" t="str">
        <v/>
      </c>
      <c r="U202" t="str">
        <v/>
      </c>
      <c r="V202" t="str">
        <v/>
      </c>
      <c r="W202" t="str">
        <v/>
      </c>
      <c r="X202" t="str">
        <v/>
      </c>
      <c r="Y202" t="str">
        <v/>
      </c>
      <c r="Z202" t="str">
        <v/>
      </c>
      <c r="AA202" t="str">
        <v/>
      </c>
      <c r="AB202" t="str">
        <v/>
      </c>
      <c r="AC202" t="str">
        <v/>
      </c>
      <c r="AD202" t="str">
        <v/>
      </c>
      <c r="AE202" t="str">
        <v/>
      </c>
      <c r="AF202" t="str">
        <v/>
      </c>
      <c r="AG202" t="str">
        <v/>
      </c>
      <c r="AH202" t="str">
        <v/>
      </c>
      <c r="AI202" t="str">
        <v/>
      </c>
      <c r="AJ202" t="str">
        <v/>
      </c>
      <c r="AK202" t="str">
        <v/>
      </c>
      <c r="AL202" t="str">
        <v/>
      </c>
    </row>
    <row r="203" spans="8:38" x14ac:dyDescent="0.3">
      <c r="H203" t="str">
        <v/>
      </c>
      <c r="I203" t="str">
        <v/>
      </c>
      <c r="J203" t="str">
        <v/>
      </c>
      <c r="K203" t="str">
        <v/>
      </c>
      <c r="L203" t="str">
        <v/>
      </c>
      <c r="M203" t="str">
        <v/>
      </c>
      <c r="N203" t="str">
        <v/>
      </c>
      <c r="O203" t="str">
        <v/>
      </c>
      <c r="P203" t="str">
        <v/>
      </c>
      <c r="Q203" t="str">
        <v/>
      </c>
      <c r="R203" t="str">
        <v/>
      </c>
      <c r="S203" t="str">
        <v/>
      </c>
      <c r="T203" t="str">
        <v/>
      </c>
      <c r="U203" t="str">
        <v/>
      </c>
      <c r="V203" t="str">
        <v/>
      </c>
      <c r="W203" t="str">
        <v/>
      </c>
      <c r="X203" t="str">
        <v/>
      </c>
      <c r="Y203" t="str">
        <v/>
      </c>
      <c r="Z203" t="str">
        <v/>
      </c>
      <c r="AA203" t="str">
        <v/>
      </c>
      <c r="AB203" t="str">
        <v/>
      </c>
      <c r="AC203" t="str">
        <v/>
      </c>
      <c r="AD203" t="str">
        <v/>
      </c>
      <c r="AE203" t="str">
        <v/>
      </c>
      <c r="AF203" t="str">
        <v/>
      </c>
      <c r="AG203" t="str">
        <v/>
      </c>
      <c r="AH203" t="str">
        <v/>
      </c>
      <c r="AI203" t="str">
        <v/>
      </c>
      <c r="AJ203" t="str">
        <v/>
      </c>
      <c r="AK203" t="str">
        <v/>
      </c>
      <c r="AL203" t="str">
        <v/>
      </c>
    </row>
    <row r="204" spans="8:38" x14ac:dyDescent="0.3">
      <c r="H204" t="str">
        <v/>
      </c>
      <c r="I204" t="str">
        <v/>
      </c>
      <c r="J204" t="str">
        <v/>
      </c>
      <c r="K204" t="str">
        <v/>
      </c>
      <c r="L204" t="str">
        <v/>
      </c>
      <c r="M204" t="str">
        <v/>
      </c>
      <c r="N204" t="str">
        <v/>
      </c>
      <c r="O204" t="str">
        <v/>
      </c>
      <c r="P204" t="str">
        <v/>
      </c>
      <c r="Q204" t="str">
        <v/>
      </c>
      <c r="R204" t="str">
        <v/>
      </c>
      <c r="S204" t="str">
        <v/>
      </c>
      <c r="T204" t="str">
        <v/>
      </c>
      <c r="U204" t="str">
        <v/>
      </c>
      <c r="V204" t="str">
        <v/>
      </c>
      <c r="W204" t="str">
        <v/>
      </c>
      <c r="X204" t="str">
        <v/>
      </c>
      <c r="Y204" t="str">
        <v/>
      </c>
      <c r="Z204" t="str">
        <v/>
      </c>
      <c r="AA204" t="str">
        <v/>
      </c>
      <c r="AB204" t="str">
        <v/>
      </c>
      <c r="AC204" t="str">
        <v/>
      </c>
      <c r="AD204" t="str">
        <v/>
      </c>
      <c r="AE204" t="str">
        <v/>
      </c>
      <c r="AF204" t="str">
        <v/>
      </c>
      <c r="AG204" t="str">
        <v/>
      </c>
      <c r="AH204" t="str">
        <v/>
      </c>
      <c r="AI204" t="str">
        <v/>
      </c>
      <c r="AJ204" t="str">
        <v/>
      </c>
      <c r="AK204" t="str">
        <v/>
      </c>
      <c r="AL204" t="str">
        <v/>
      </c>
    </row>
    <row r="205" spans="8:38" x14ac:dyDescent="0.3">
      <c r="H205" t="str">
        <v/>
      </c>
      <c r="I205" t="str">
        <v/>
      </c>
      <c r="J205" t="str">
        <v/>
      </c>
      <c r="K205" t="str">
        <v/>
      </c>
      <c r="L205" t="str">
        <v/>
      </c>
      <c r="M205" t="str">
        <v/>
      </c>
      <c r="N205" t="str">
        <v/>
      </c>
      <c r="O205" t="str">
        <v/>
      </c>
      <c r="P205" t="str">
        <v/>
      </c>
      <c r="Q205" t="str">
        <v/>
      </c>
      <c r="R205" t="str">
        <v/>
      </c>
      <c r="S205" t="str">
        <v/>
      </c>
      <c r="T205" t="str">
        <v/>
      </c>
      <c r="U205" t="str">
        <v/>
      </c>
      <c r="V205" t="str">
        <v/>
      </c>
      <c r="W205" t="str">
        <v/>
      </c>
      <c r="X205" t="str">
        <v/>
      </c>
      <c r="Y205" t="str">
        <v/>
      </c>
      <c r="Z205" t="str">
        <v/>
      </c>
      <c r="AA205" t="str">
        <v/>
      </c>
      <c r="AB205" t="str">
        <v/>
      </c>
      <c r="AC205" t="str">
        <v/>
      </c>
      <c r="AD205" t="str">
        <v/>
      </c>
      <c r="AE205" t="str">
        <v/>
      </c>
      <c r="AF205" t="str">
        <v/>
      </c>
      <c r="AG205" t="str">
        <v/>
      </c>
      <c r="AH205" t="str">
        <v/>
      </c>
      <c r="AI205" t="str">
        <v/>
      </c>
      <c r="AJ205" t="str">
        <v/>
      </c>
      <c r="AK205" t="str">
        <v/>
      </c>
      <c r="AL205" t="str">
        <v/>
      </c>
    </row>
    <row r="206" spans="8:38" x14ac:dyDescent="0.3">
      <c r="H206" t="str">
        <v/>
      </c>
      <c r="I206" t="str">
        <v/>
      </c>
      <c r="J206" t="str">
        <v/>
      </c>
      <c r="K206" t="str">
        <v/>
      </c>
      <c r="L206" t="str">
        <v/>
      </c>
      <c r="M206" t="str">
        <v/>
      </c>
      <c r="N206" t="str">
        <v/>
      </c>
      <c r="O206" t="str">
        <v/>
      </c>
      <c r="P206" t="str">
        <v/>
      </c>
      <c r="Q206" t="str">
        <v/>
      </c>
      <c r="R206" t="str">
        <v/>
      </c>
      <c r="S206" t="str">
        <v/>
      </c>
      <c r="T206" t="str">
        <v/>
      </c>
      <c r="U206" t="str">
        <v/>
      </c>
      <c r="V206" t="str">
        <v/>
      </c>
      <c r="W206" t="str">
        <v/>
      </c>
      <c r="X206" t="str">
        <v/>
      </c>
      <c r="Y206" t="str">
        <v/>
      </c>
      <c r="Z206" t="str">
        <v/>
      </c>
      <c r="AA206" t="str">
        <v/>
      </c>
      <c r="AB206" t="str">
        <v/>
      </c>
      <c r="AC206" t="str">
        <v/>
      </c>
      <c r="AD206" t="str">
        <v/>
      </c>
      <c r="AE206" t="str">
        <v/>
      </c>
      <c r="AF206" t="str">
        <v/>
      </c>
      <c r="AG206" t="str">
        <v/>
      </c>
      <c r="AH206" t="str">
        <v/>
      </c>
      <c r="AI206" t="str">
        <v/>
      </c>
      <c r="AJ206" t="str">
        <v/>
      </c>
      <c r="AK206" t="str">
        <v/>
      </c>
      <c r="AL206" t="str">
        <v/>
      </c>
    </row>
    <row r="207" spans="8:38" x14ac:dyDescent="0.3">
      <c r="H207" t="str">
        <v/>
      </c>
      <c r="I207" t="str">
        <v/>
      </c>
      <c r="J207" t="str">
        <v/>
      </c>
      <c r="K207" t="str">
        <v/>
      </c>
      <c r="L207" t="str">
        <v/>
      </c>
      <c r="M207" t="str">
        <v/>
      </c>
      <c r="N207" t="str">
        <v/>
      </c>
      <c r="O207" t="str">
        <v/>
      </c>
      <c r="P207" t="str">
        <v/>
      </c>
      <c r="Q207" t="str">
        <v/>
      </c>
      <c r="R207" t="str">
        <v/>
      </c>
      <c r="S207" t="str">
        <v/>
      </c>
      <c r="T207" t="str">
        <v/>
      </c>
      <c r="U207" t="str">
        <v/>
      </c>
      <c r="V207" t="str">
        <v/>
      </c>
      <c r="W207" t="str">
        <v/>
      </c>
      <c r="X207" t="str">
        <v/>
      </c>
      <c r="Y207" t="str">
        <v/>
      </c>
      <c r="Z207" t="str">
        <v/>
      </c>
      <c r="AA207" t="str">
        <v/>
      </c>
      <c r="AB207" t="str">
        <v/>
      </c>
      <c r="AC207" t="str">
        <v/>
      </c>
      <c r="AD207" t="str">
        <v/>
      </c>
      <c r="AE207" t="str">
        <v/>
      </c>
      <c r="AF207" t="str">
        <v/>
      </c>
      <c r="AG207" t="str">
        <v/>
      </c>
      <c r="AH207" t="str">
        <v/>
      </c>
      <c r="AI207" t="str">
        <v/>
      </c>
      <c r="AJ207" t="str">
        <v/>
      </c>
      <c r="AK207" t="str">
        <v/>
      </c>
      <c r="AL207" t="str">
        <v/>
      </c>
    </row>
    <row r="208" spans="8:38" x14ac:dyDescent="0.3">
      <c r="H208" t="str">
        <v/>
      </c>
      <c r="I208" t="str">
        <v/>
      </c>
      <c r="J208" t="str">
        <v/>
      </c>
      <c r="K208" t="str">
        <v/>
      </c>
      <c r="L208" t="str">
        <v/>
      </c>
      <c r="M208" t="str">
        <v/>
      </c>
      <c r="N208" t="str">
        <v/>
      </c>
      <c r="O208" t="str">
        <v/>
      </c>
      <c r="P208" t="str">
        <v/>
      </c>
      <c r="Q208" t="str">
        <v/>
      </c>
      <c r="R208" t="str">
        <v/>
      </c>
      <c r="S208" t="str">
        <v/>
      </c>
      <c r="T208" t="str">
        <v/>
      </c>
      <c r="U208" t="str">
        <v/>
      </c>
      <c r="V208" t="str">
        <v/>
      </c>
      <c r="W208" t="str">
        <v/>
      </c>
      <c r="X208" t="str">
        <v/>
      </c>
      <c r="Y208" t="str">
        <v/>
      </c>
      <c r="Z208" t="str">
        <v/>
      </c>
      <c r="AA208" t="str">
        <v/>
      </c>
      <c r="AB208" t="str">
        <v/>
      </c>
      <c r="AC208" t="str">
        <v/>
      </c>
      <c r="AD208" t="str">
        <v/>
      </c>
      <c r="AE208" t="str">
        <v/>
      </c>
      <c r="AF208" t="str">
        <v/>
      </c>
      <c r="AG208" t="str">
        <v/>
      </c>
      <c r="AH208" t="str">
        <v/>
      </c>
      <c r="AI208" t="str">
        <v/>
      </c>
      <c r="AJ208" t="str">
        <v/>
      </c>
      <c r="AK208" t="str">
        <v/>
      </c>
      <c r="AL208" t="str">
        <v/>
      </c>
    </row>
    <row r="209" spans="8:38" x14ac:dyDescent="0.3">
      <c r="H209" t="str">
        <v/>
      </c>
      <c r="I209" t="str">
        <v/>
      </c>
      <c r="J209" t="str">
        <v/>
      </c>
      <c r="K209" t="str">
        <v/>
      </c>
      <c r="L209" t="str">
        <v/>
      </c>
      <c r="M209" t="str">
        <v/>
      </c>
      <c r="N209" t="str">
        <v/>
      </c>
      <c r="O209" t="str">
        <v/>
      </c>
      <c r="P209" t="str">
        <v/>
      </c>
      <c r="Q209" t="str">
        <v/>
      </c>
      <c r="R209" t="str">
        <v/>
      </c>
      <c r="S209" t="str">
        <v/>
      </c>
      <c r="T209" t="str">
        <v/>
      </c>
      <c r="U209" t="str">
        <v/>
      </c>
      <c r="V209" t="str">
        <v/>
      </c>
      <c r="W209" t="str">
        <v/>
      </c>
      <c r="X209" t="str">
        <v/>
      </c>
      <c r="Y209" t="str">
        <v/>
      </c>
      <c r="Z209" t="str">
        <v/>
      </c>
      <c r="AA209" t="str">
        <v/>
      </c>
      <c r="AB209" t="str">
        <v/>
      </c>
      <c r="AC209" t="str">
        <v/>
      </c>
      <c r="AD209" t="str">
        <v/>
      </c>
      <c r="AE209" t="str">
        <v/>
      </c>
      <c r="AF209" t="str">
        <v/>
      </c>
      <c r="AG209" t="str">
        <v/>
      </c>
      <c r="AH209" t="str">
        <v/>
      </c>
      <c r="AI209" t="str">
        <v/>
      </c>
      <c r="AJ209" t="str">
        <v/>
      </c>
      <c r="AK209" t="str">
        <v/>
      </c>
      <c r="AL209" t="str">
        <v/>
      </c>
    </row>
    <row r="210" spans="8:38" x14ac:dyDescent="0.3">
      <c r="H210" t="str">
        <v/>
      </c>
      <c r="I210" t="str">
        <v/>
      </c>
      <c r="J210" t="str">
        <v/>
      </c>
      <c r="K210" t="str">
        <v/>
      </c>
      <c r="L210" t="str">
        <v/>
      </c>
      <c r="M210" t="str">
        <v/>
      </c>
      <c r="N210" t="str">
        <v/>
      </c>
      <c r="O210" t="str">
        <v/>
      </c>
      <c r="P210" t="str">
        <v/>
      </c>
      <c r="Q210" t="str">
        <v/>
      </c>
      <c r="R210" t="str">
        <v/>
      </c>
      <c r="S210" t="str">
        <v/>
      </c>
      <c r="T210" t="str">
        <v/>
      </c>
      <c r="U210" t="str">
        <v/>
      </c>
      <c r="V210" t="str">
        <v/>
      </c>
      <c r="W210" t="str">
        <v/>
      </c>
      <c r="X210" t="str">
        <v/>
      </c>
      <c r="Y210" t="str">
        <v/>
      </c>
      <c r="Z210" t="str">
        <v/>
      </c>
      <c r="AA210" t="str">
        <v/>
      </c>
      <c r="AB210" t="str">
        <v/>
      </c>
      <c r="AC210" t="str">
        <v/>
      </c>
      <c r="AD210" t="str">
        <v/>
      </c>
      <c r="AE210" t="str">
        <v/>
      </c>
      <c r="AF210" t="str">
        <v/>
      </c>
      <c r="AG210" t="str">
        <v/>
      </c>
      <c r="AH210" t="str">
        <v/>
      </c>
      <c r="AI210" t="str">
        <v/>
      </c>
      <c r="AJ210" t="str">
        <v/>
      </c>
      <c r="AK210" t="str">
        <v/>
      </c>
      <c r="AL210" t="str">
        <v/>
      </c>
    </row>
    <row r="211" spans="8:38" x14ac:dyDescent="0.3">
      <c r="H211" t="str">
        <v/>
      </c>
      <c r="I211" t="str">
        <v/>
      </c>
      <c r="J211" t="str">
        <v/>
      </c>
      <c r="K211" t="str">
        <v/>
      </c>
      <c r="L211" t="str">
        <v/>
      </c>
      <c r="M211" t="str">
        <v/>
      </c>
      <c r="N211" t="str">
        <v/>
      </c>
      <c r="O211" t="str">
        <v/>
      </c>
      <c r="P211" t="str">
        <v/>
      </c>
      <c r="Q211" t="str">
        <v/>
      </c>
      <c r="R211" t="str">
        <v/>
      </c>
      <c r="S211" t="str">
        <v/>
      </c>
      <c r="T211" t="str">
        <v/>
      </c>
      <c r="U211" t="str">
        <v/>
      </c>
      <c r="V211" t="str">
        <v/>
      </c>
      <c r="W211" t="str">
        <v/>
      </c>
      <c r="X211" t="str">
        <v/>
      </c>
      <c r="Y211" t="str">
        <v/>
      </c>
      <c r="Z211" t="str">
        <v/>
      </c>
      <c r="AA211" t="str">
        <v/>
      </c>
      <c r="AB211" t="str">
        <v/>
      </c>
      <c r="AC211" t="str">
        <v/>
      </c>
      <c r="AD211" t="str">
        <v/>
      </c>
      <c r="AE211" t="str">
        <v/>
      </c>
      <c r="AF211" t="str">
        <v/>
      </c>
      <c r="AG211" t="str">
        <v/>
      </c>
      <c r="AH211" t="str">
        <v/>
      </c>
      <c r="AI211" t="str">
        <v/>
      </c>
      <c r="AJ211" t="str">
        <v/>
      </c>
      <c r="AK211" t="str">
        <v/>
      </c>
      <c r="AL211" t="str">
        <v/>
      </c>
    </row>
    <row r="212" spans="8:38" x14ac:dyDescent="0.3">
      <c r="H212" t="str">
        <v/>
      </c>
      <c r="I212" t="str">
        <v/>
      </c>
      <c r="J212" t="str">
        <v/>
      </c>
      <c r="K212" t="str">
        <v/>
      </c>
      <c r="L212" t="str">
        <v/>
      </c>
      <c r="M212" t="str">
        <v/>
      </c>
      <c r="N212" t="str">
        <v/>
      </c>
      <c r="O212" t="str">
        <v/>
      </c>
      <c r="P212" t="str">
        <v/>
      </c>
      <c r="Q212" t="str">
        <v/>
      </c>
      <c r="R212" t="str">
        <v/>
      </c>
      <c r="S212" t="str">
        <v/>
      </c>
      <c r="T212" t="str">
        <v/>
      </c>
      <c r="U212" t="str">
        <v/>
      </c>
      <c r="V212" t="str">
        <v/>
      </c>
      <c r="W212" t="str">
        <v/>
      </c>
      <c r="X212" t="str">
        <v/>
      </c>
      <c r="Y212" t="str">
        <v/>
      </c>
      <c r="Z212" t="str">
        <v/>
      </c>
      <c r="AA212" t="str">
        <v/>
      </c>
      <c r="AB212" t="str">
        <v/>
      </c>
      <c r="AC212" t="str">
        <v/>
      </c>
      <c r="AD212" t="str">
        <v/>
      </c>
      <c r="AE212" t="str">
        <v/>
      </c>
      <c r="AF212" t="str">
        <v/>
      </c>
      <c r="AG212" t="str">
        <v/>
      </c>
      <c r="AH212" t="str">
        <v/>
      </c>
      <c r="AI212" t="str">
        <v/>
      </c>
      <c r="AJ212" t="str">
        <v/>
      </c>
      <c r="AK212" t="str">
        <v/>
      </c>
      <c r="AL212" t="str">
        <v/>
      </c>
    </row>
    <row r="213" spans="8:38" x14ac:dyDescent="0.3">
      <c r="H213" t="str">
        <v/>
      </c>
      <c r="I213" t="str">
        <v/>
      </c>
      <c r="J213" t="str">
        <v/>
      </c>
      <c r="K213" t="str">
        <v/>
      </c>
      <c r="L213" t="str">
        <v/>
      </c>
      <c r="M213" t="str">
        <v/>
      </c>
      <c r="N213" t="str">
        <v/>
      </c>
      <c r="O213" t="str">
        <v/>
      </c>
      <c r="P213" t="str">
        <v/>
      </c>
      <c r="Q213" t="str">
        <v/>
      </c>
      <c r="R213" t="str">
        <v/>
      </c>
      <c r="S213" t="str">
        <v/>
      </c>
      <c r="T213" t="str">
        <v/>
      </c>
      <c r="U213" t="str">
        <v/>
      </c>
      <c r="V213" t="str">
        <v/>
      </c>
      <c r="W213" t="str">
        <v/>
      </c>
      <c r="X213" t="str">
        <v/>
      </c>
      <c r="Y213" t="str">
        <v/>
      </c>
      <c r="Z213" t="str">
        <v/>
      </c>
      <c r="AA213" t="str">
        <v/>
      </c>
      <c r="AB213" t="str">
        <v/>
      </c>
      <c r="AC213" t="str">
        <v/>
      </c>
      <c r="AD213" t="str">
        <v/>
      </c>
      <c r="AE213" t="str">
        <v/>
      </c>
      <c r="AF213" t="str">
        <v/>
      </c>
      <c r="AG213" t="str">
        <v/>
      </c>
      <c r="AH213" t="str">
        <v/>
      </c>
      <c r="AI213" t="str">
        <v/>
      </c>
      <c r="AJ213" t="str">
        <v/>
      </c>
      <c r="AK213" t="str">
        <v/>
      </c>
      <c r="AL213" t="str">
        <v/>
      </c>
    </row>
    <row r="214" spans="8:38" x14ac:dyDescent="0.3">
      <c r="H214" t="str">
        <v/>
      </c>
      <c r="I214" t="str">
        <v/>
      </c>
      <c r="J214" t="str">
        <v/>
      </c>
      <c r="K214" t="str">
        <v/>
      </c>
      <c r="L214" t="str">
        <v/>
      </c>
      <c r="M214" t="str">
        <v/>
      </c>
      <c r="N214" t="str">
        <v/>
      </c>
      <c r="O214" t="str">
        <v/>
      </c>
      <c r="P214" t="str">
        <v/>
      </c>
      <c r="Q214" t="str">
        <v/>
      </c>
      <c r="R214" t="str">
        <v/>
      </c>
      <c r="S214" t="str">
        <v/>
      </c>
      <c r="T214" t="str">
        <v/>
      </c>
      <c r="U214" t="str">
        <v/>
      </c>
      <c r="V214" t="str">
        <v/>
      </c>
      <c r="W214" t="str">
        <v/>
      </c>
      <c r="X214" t="str">
        <v/>
      </c>
      <c r="Y214" t="str">
        <v/>
      </c>
      <c r="Z214" t="str">
        <v/>
      </c>
      <c r="AA214" t="str">
        <v/>
      </c>
      <c r="AB214" t="str">
        <v/>
      </c>
      <c r="AC214" t="str">
        <v/>
      </c>
      <c r="AD214" t="str">
        <v/>
      </c>
      <c r="AE214" t="str">
        <v/>
      </c>
      <c r="AF214" t="str">
        <v/>
      </c>
      <c r="AG214" t="str">
        <v/>
      </c>
      <c r="AH214" t="str">
        <v/>
      </c>
      <c r="AI214" t="str">
        <v/>
      </c>
      <c r="AJ214" t="str">
        <v/>
      </c>
      <c r="AK214" t="str">
        <v/>
      </c>
      <c r="AL214" t="str">
        <v/>
      </c>
    </row>
    <row r="215" spans="8:38" x14ac:dyDescent="0.3">
      <c r="H215" t="str">
        <v/>
      </c>
      <c r="I215" t="str">
        <v/>
      </c>
      <c r="J215" t="str">
        <v/>
      </c>
      <c r="K215" t="str">
        <v/>
      </c>
      <c r="L215" t="str">
        <v/>
      </c>
      <c r="M215" t="str">
        <v/>
      </c>
      <c r="N215" t="str">
        <v/>
      </c>
      <c r="O215" t="str">
        <v/>
      </c>
      <c r="P215" t="str">
        <v/>
      </c>
      <c r="Q215" t="str">
        <v/>
      </c>
      <c r="R215" t="str">
        <v/>
      </c>
      <c r="S215" t="str">
        <v/>
      </c>
      <c r="T215" t="str">
        <v/>
      </c>
      <c r="U215" t="str">
        <v/>
      </c>
      <c r="V215" t="str">
        <v/>
      </c>
      <c r="W215" t="str">
        <v/>
      </c>
      <c r="X215" t="str">
        <v/>
      </c>
      <c r="Y215" t="str">
        <v/>
      </c>
      <c r="Z215" t="str">
        <v/>
      </c>
      <c r="AA215" t="str">
        <v/>
      </c>
      <c r="AB215" t="str">
        <v/>
      </c>
      <c r="AC215" t="str">
        <v/>
      </c>
      <c r="AD215" t="str">
        <v/>
      </c>
      <c r="AE215" t="str">
        <v/>
      </c>
      <c r="AF215" t="str">
        <v/>
      </c>
      <c r="AG215" t="str">
        <v/>
      </c>
      <c r="AH215" t="str">
        <v/>
      </c>
      <c r="AI215" t="str">
        <v/>
      </c>
      <c r="AJ215" t="str">
        <v/>
      </c>
      <c r="AK215" t="str">
        <v/>
      </c>
      <c r="AL215" t="str">
        <v/>
      </c>
    </row>
    <row r="216" spans="8:38" x14ac:dyDescent="0.3">
      <c r="H216" t="str">
        <v/>
      </c>
      <c r="I216" t="str">
        <v/>
      </c>
      <c r="J216" t="str">
        <v/>
      </c>
      <c r="K216" t="str">
        <v/>
      </c>
      <c r="L216" t="str">
        <v/>
      </c>
      <c r="M216" t="str">
        <v/>
      </c>
      <c r="N216" t="str">
        <v/>
      </c>
      <c r="O216" t="str">
        <v/>
      </c>
      <c r="P216" t="str">
        <v/>
      </c>
      <c r="Q216" t="str">
        <v/>
      </c>
      <c r="R216" t="str">
        <v/>
      </c>
      <c r="S216" t="str">
        <v/>
      </c>
      <c r="T216" t="str">
        <v/>
      </c>
      <c r="U216" t="str">
        <v/>
      </c>
      <c r="V216" t="str">
        <v/>
      </c>
      <c r="W216" t="str">
        <v/>
      </c>
      <c r="X216" t="str">
        <v/>
      </c>
      <c r="Y216" t="str">
        <v/>
      </c>
      <c r="Z216" t="str">
        <v/>
      </c>
      <c r="AA216" t="str">
        <v/>
      </c>
      <c r="AB216" t="str">
        <v/>
      </c>
      <c r="AC216" t="str">
        <v/>
      </c>
      <c r="AD216" t="str">
        <v/>
      </c>
      <c r="AE216" t="str">
        <v/>
      </c>
      <c r="AF216" t="str">
        <v/>
      </c>
      <c r="AG216" t="str">
        <v/>
      </c>
      <c r="AH216" t="str">
        <v/>
      </c>
      <c r="AI216" t="str">
        <v/>
      </c>
      <c r="AJ216" t="str">
        <v/>
      </c>
      <c r="AK216" t="str">
        <v/>
      </c>
      <c r="AL216" t="str">
        <v/>
      </c>
    </row>
    <row r="217" spans="8:38" x14ac:dyDescent="0.3">
      <c r="H217" t="str">
        <v/>
      </c>
      <c r="I217" t="str">
        <v/>
      </c>
      <c r="J217" t="str">
        <v/>
      </c>
      <c r="K217" t="str">
        <v/>
      </c>
      <c r="L217" t="str">
        <v/>
      </c>
      <c r="M217" t="str">
        <v/>
      </c>
      <c r="N217" t="str">
        <v/>
      </c>
      <c r="O217" t="str">
        <v/>
      </c>
      <c r="P217" t="str">
        <v/>
      </c>
      <c r="Q217" t="str">
        <v/>
      </c>
      <c r="R217" t="str">
        <v/>
      </c>
      <c r="S217" t="str">
        <v/>
      </c>
      <c r="T217" t="str">
        <v/>
      </c>
      <c r="U217" t="str">
        <v/>
      </c>
      <c r="V217" t="str">
        <v/>
      </c>
      <c r="W217" t="str">
        <v/>
      </c>
      <c r="X217" t="str">
        <v/>
      </c>
      <c r="Y217" t="str">
        <v/>
      </c>
      <c r="Z217" t="str">
        <v/>
      </c>
      <c r="AA217" t="str">
        <v/>
      </c>
      <c r="AB217" t="str">
        <v/>
      </c>
      <c r="AC217" t="str">
        <v/>
      </c>
      <c r="AD217" t="str">
        <v/>
      </c>
      <c r="AE217" t="str">
        <v/>
      </c>
      <c r="AF217" t="str">
        <v/>
      </c>
      <c r="AG217" t="str">
        <v/>
      </c>
      <c r="AH217" t="str">
        <v/>
      </c>
      <c r="AI217" t="str">
        <v/>
      </c>
      <c r="AJ217" t="str">
        <v/>
      </c>
      <c r="AK217" t="str">
        <v/>
      </c>
      <c r="AL217" t="str">
        <v/>
      </c>
    </row>
    <row r="218" spans="8:38" x14ac:dyDescent="0.3">
      <c r="H218" t="str">
        <v/>
      </c>
      <c r="I218" t="str">
        <v/>
      </c>
      <c r="J218" t="str">
        <v/>
      </c>
      <c r="K218" t="str">
        <v/>
      </c>
      <c r="L218" t="str">
        <v/>
      </c>
      <c r="M218" t="str">
        <v/>
      </c>
      <c r="N218" t="str">
        <v/>
      </c>
      <c r="O218" t="str">
        <v/>
      </c>
      <c r="P218" t="str">
        <v/>
      </c>
      <c r="Q218" t="str">
        <v/>
      </c>
      <c r="R218" t="str">
        <v/>
      </c>
      <c r="S218" t="str">
        <v/>
      </c>
      <c r="T218" t="str">
        <v/>
      </c>
      <c r="U218" t="str">
        <v/>
      </c>
      <c r="V218" t="str">
        <v/>
      </c>
      <c r="W218" t="str">
        <v/>
      </c>
      <c r="X218" t="str">
        <v/>
      </c>
      <c r="Y218" t="str">
        <v/>
      </c>
      <c r="Z218" t="str">
        <v/>
      </c>
      <c r="AA218" t="str">
        <v/>
      </c>
      <c r="AB218" t="str">
        <v/>
      </c>
      <c r="AC218" t="str">
        <v/>
      </c>
      <c r="AD218" t="str">
        <v/>
      </c>
      <c r="AE218" t="str">
        <v/>
      </c>
      <c r="AF218" t="str">
        <v/>
      </c>
      <c r="AG218" t="str">
        <v/>
      </c>
      <c r="AH218" t="str">
        <v/>
      </c>
      <c r="AI218" t="str">
        <v/>
      </c>
      <c r="AJ218" t="str">
        <v/>
      </c>
      <c r="AK218" t="str">
        <v/>
      </c>
      <c r="AL218" t="str">
        <v/>
      </c>
    </row>
    <row r="219" spans="8:38" x14ac:dyDescent="0.3">
      <c r="H219" t="str">
        <v/>
      </c>
      <c r="I219" t="str">
        <v/>
      </c>
      <c r="J219" t="str">
        <v/>
      </c>
      <c r="K219" t="str">
        <v/>
      </c>
      <c r="L219" t="str">
        <v/>
      </c>
      <c r="M219" t="str">
        <v/>
      </c>
      <c r="N219" t="str">
        <v/>
      </c>
      <c r="O219" t="str">
        <v/>
      </c>
      <c r="P219" t="str">
        <v/>
      </c>
      <c r="Q219" t="str">
        <v/>
      </c>
      <c r="R219" t="str">
        <v/>
      </c>
      <c r="S219" t="str">
        <v/>
      </c>
      <c r="T219" t="str">
        <v/>
      </c>
      <c r="U219" t="str">
        <v/>
      </c>
      <c r="V219" t="str">
        <v/>
      </c>
      <c r="W219" t="str">
        <v/>
      </c>
      <c r="X219" t="str">
        <v/>
      </c>
      <c r="Y219" t="str">
        <v/>
      </c>
      <c r="Z219" t="str">
        <v/>
      </c>
      <c r="AA219" t="str">
        <v/>
      </c>
      <c r="AB219" t="str">
        <v/>
      </c>
      <c r="AC219" t="str">
        <v/>
      </c>
      <c r="AD219" t="str">
        <v/>
      </c>
      <c r="AE219" t="str">
        <v/>
      </c>
      <c r="AF219" t="str">
        <v/>
      </c>
      <c r="AG219" t="str">
        <v/>
      </c>
      <c r="AH219" t="str">
        <v/>
      </c>
      <c r="AI219" t="str">
        <v/>
      </c>
      <c r="AJ219" t="str">
        <v/>
      </c>
      <c r="AK219" t="str">
        <v/>
      </c>
      <c r="AL219" t="str">
        <v/>
      </c>
    </row>
    <row r="220" spans="8:38" x14ac:dyDescent="0.3">
      <c r="H220" t="str">
        <v/>
      </c>
      <c r="I220" t="str">
        <v/>
      </c>
      <c r="J220" t="str">
        <v/>
      </c>
      <c r="K220" t="str">
        <v/>
      </c>
      <c r="L220" t="str">
        <v/>
      </c>
      <c r="M220" t="str">
        <v/>
      </c>
      <c r="N220" t="str">
        <v/>
      </c>
      <c r="O220" t="str">
        <v/>
      </c>
      <c r="P220" t="str">
        <v/>
      </c>
      <c r="Q220" t="str">
        <v/>
      </c>
      <c r="R220" t="str">
        <v/>
      </c>
      <c r="S220" t="str">
        <v/>
      </c>
      <c r="T220" t="str">
        <v/>
      </c>
      <c r="U220" t="str">
        <v/>
      </c>
      <c r="V220" t="str">
        <v/>
      </c>
      <c r="W220" t="str">
        <v/>
      </c>
      <c r="X220" t="str">
        <v/>
      </c>
      <c r="Y220" t="str">
        <v/>
      </c>
      <c r="Z220" t="str">
        <v/>
      </c>
      <c r="AA220" t="str">
        <v/>
      </c>
      <c r="AB220" t="str">
        <v/>
      </c>
      <c r="AC220" t="str">
        <v/>
      </c>
      <c r="AD220" t="str">
        <v/>
      </c>
      <c r="AE220" t="str">
        <v/>
      </c>
      <c r="AF220" t="str">
        <v/>
      </c>
      <c r="AG220" t="str">
        <v/>
      </c>
      <c r="AH220" t="str">
        <v/>
      </c>
      <c r="AI220" t="str">
        <v/>
      </c>
      <c r="AJ220" t="str">
        <v/>
      </c>
      <c r="AK220" t="str">
        <v/>
      </c>
      <c r="AL220" t="str">
        <v/>
      </c>
    </row>
    <row r="221" spans="8:38" x14ac:dyDescent="0.3">
      <c r="H221" t="str">
        <v/>
      </c>
      <c r="I221" t="str">
        <v/>
      </c>
      <c r="J221" t="str">
        <v/>
      </c>
      <c r="K221" t="str">
        <v/>
      </c>
      <c r="L221" t="str">
        <v/>
      </c>
      <c r="M221" t="str">
        <v/>
      </c>
      <c r="N221" t="str">
        <v/>
      </c>
      <c r="O221" t="str">
        <v/>
      </c>
      <c r="P221" t="str">
        <v/>
      </c>
      <c r="Q221" t="str">
        <v/>
      </c>
      <c r="R221" t="str">
        <v/>
      </c>
      <c r="S221" t="str">
        <v/>
      </c>
      <c r="T221" t="str">
        <v/>
      </c>
      <c r="U221" t="str">
        <v/>
      </c>
      <c r="V221" t="str">
        <v/>
      </c>
      <c r="W221" t="str">
        <v/>
      </c>
      <c r="X221" t="str">
        <v/>
      </c>
      <c r="Y221" t="str">
        <v/>
      </c>
      <c r="Z221" t="str">
        <v/>
      </c>
      <c r="AA221" t="str">
        <v/>
      </c>
      <c r="AB221" t="str">
        <v/>
      </c>
      <c r="AC221" t="str">
        <v/>
      </c>
      <c r="AD221" t="str">
        <v/>
      </c>
      <c r="AE221" t="str">
        <v/>
      </c>
      <c r="AF221" t="str">
        <v/>
      </c>
      <c r="AG221" t="str">
        <v/>
      </c>
      <c r="AH221" t="str">
        <v/>
      </c>
      <c r="AI221" t="str">
        <v/>
      </c>
      <c r="AJ221" t="str">
        <v/>
      </c>
      <c r="AK221" t="str">
        <v/>
      </c>
      <c r="AL221" t="str">
        <v/>
      </c>
    </row>
    <row r="222" spans="8:38" x14ac:dyDescent="0.3">
      <c r="H222" t="str">
        <v/>
      </c>
      <c r="I222" t="str">
        <v/>
      </c>
      <c r="J222" t="str">
        <v/>
      </c>
      <c r="K222" t="str">
        <v/>
      </c>
      <c r="L222" t="str">
        <v/>
      </c>
      <c r="M222" t="str">
        <v/>
      </c>
      <c r="N222" t="str">
        <v/>
      </c>
      <c r="O222" t="str">
        <v/>
      </c>
      <c r="P222" t="str">
        <v/>
      </c>
      <c r="Q222" t="str">
        <v/>
      </c>
      <c r="R222" t="str">
        <v/>
      </c>
      <c r="S222" t="str">
        <v/>
      </c>
      <c r="T222" t="str">
        <v/>
      </c>
      <c r="U222" t="str">
        <v/>
      </c>
      <c r="V222" t="str">
        <v/>
      </c>
      <c r="W222" t="str">
        <v/>
      </c>
      <c r="X222" t="str">
        <v/>
      </c>
      <c r="Y222" t="str">
        <v/>
      </c>
      <c r="Z222" t="str">
        <v/>
      </c>
      <c r="AA222" t="str">
        <v/>
      </c>
      <c r="AB222" t="str">
        <v/>
      </c>
      <c r="AC222" t="str">
        <v/>
      </c>
      <c r="AD222" t="str">
        <v/>
      </c>
      <c r="AE222" t="str">
        <v/>
      </c>
      <c r="AF222" t="str">
        <v/>
      </c>
      <c r="AG222" t="str">
        <v/>
      </c>
      <c r="AH222" t="str">
        <v/>
      </c>
      <c r="AI222" t="str">
        <v/>
      </c>
      <c r="AJ222" t="str">
        <v/>
      </c>
      <c r="AK222" t="str">
        <v/>
      </c>
      <c r="AL222" t="str">
        <v/>
      </c>
    </row>
    <row r="223" spans="8:38" x14ac:dyDescent="0.3">
      <c r="H223" t="str">
        <v/>
      </c>
      <c r="I223" t="str">
        <v/>
      </c>
      <c r="J223" t="str">
        <v/>
      </c>
      <c r="K223" t="str">
        <v/>
      </c>
      <c r="L223" t="str">
        <v/>
      </c>
      <c r="M223" t="str">
        <v/>
      </c>
      <c r="N223" t="str">
        <v/>
      </c>
      <c r="O223" t="str">
        <v/>
      </c>
      <c r="P223" t="str">
        <v/>
      </c>
      <c r="Q223" t="str">
        <v/>
      </c>
      <c r="R223" t="str">
        <v/>
      </c>
      <c r="S223" t="str">
        <v/>
      </c>
      <c r="T223" t="str">
        <v/>
      </c>
      <c r="U223" t="str">
        <v/>
      </c>
      <c r="V223" t="str">
        <v/>
      </c>
      <c r="W223" t="str">
        <v/>
      </c>
      <c r="X223" t="str">
        <v/>
      </c>
      <c r="Y223" t="str">
        <v/>
      </c>
      <c r="Z223" t="str">
        <v/>
      </c>
      <c r="AA223" t="str">
        <v/>
      </c>
      <c r="AB223" t="str">
        <v/>
      </c>
      <c r="AC223" t="str">
        <v/>
      </c>
      <c r="AD223" t="str">
        <v/>
      </c>
      <c r="AE223" t="str">
        <v/>
      </c>
      <c r="AF223" t="str">
        <v/>
      </c>
      <c r="AG223" t="str">
        <v/>
      </c>
      <c r="AH223" t="str">
        <v/>
      </c>
      <c r="AI223" t="str">
        <v/>
      </c>
      <c r="AJ223" t="str">
        <v/>
      </c>
      <c r="AK223" t="str">
        <v/>
      </c>
      <c r="AL223" t="str">
        <v/>
      </c>
    </row>
    <row r="224" spans="8:38" x14ac:dyDescent="0.3">
      <c r="H224" t="str">
        <v/>
      </c>
      <c r="I224" t="str">
        <v/>
      </c>
      <c r="J224" t="str">
        <v/>
      </c>
      <c r="K224" t="str">
        <v/>
      </c>
      <c r="L224" t="str">
        <v/>
      </c>
      <c r="M224" t="str">
        <v/>
      </c>
      <c r="N224" t="str">
        <v/>
      </c>
      <c r="O224" t="str">
        <v/>
      </c>
      <c r="P224" t="str">
        <v/>
      </c>
      <c r="Q224" t="str">
        <v/>
      </c>
      <c r="R224" t="str">
        <v/>
      </c>
      <c r="S224" t="str">
        <v/>
      </c>
      <c r="T224" t="str">
        <v/>
      </c>
      <c r="U224" t="str">
        <v/>
      </c>
      <c r="V224" t="str">
        <v/>
      </c>
      <c r="W224" t="str">
        <v/>
      </c>
      <c r="X224" t="str">
        <v/>
      </c>
      <c r="Y224" t="str">
        <v/>
      </c>
      <c r="Z224" t="str">
        <v/>
      </c>
      <c r="AA224" t="str">
        <v/>
      </c>
      <c r="AB224" t="str">
        <v/>
      </c>
      <c r="AC224" t="str">
        <v/>
      </c>
      <c r="AD224" t="str">
        <v/>
      </c>
      <c r="AE224" t="str">
        <v/>
      </c>
      <c r="AF224" t="str">
        <v/>
      </c>
      <c r="AG224" t="str">
        <v/>
      </c>
      <c r="AH224" t="str">
        <v/>
      </c>
      <c r="AI224" t="str">
        <v/>
      </c>
      <c r="AJ224" t="str">
        <v/>
      </c>
      <c r="AK224" t="str">
        <v/>
      </c>
      <c r="AL224" t="str">
        <v/>
      </c>
    </row>
    <row r="225" spans="8:38" x14ac:dyDescent="0.3">
      <c r="H225" t="str">
        <v/>
      </c>
      <c r="I225" t="str">
        <v/>
      </c>
      <c r="J225" t="str">
        <v/>
      </c>
      <c r="K225" t="str">
        <v/>
      </c>
      <c r="L225" t="str">
        <v/>
      </c>
      <c r="M225" t="str">
        <v/>
      </c>
      <c r="N225" t="str">
        <v/>
      </c>
      <c r="O225" t="str">
        <v/>
      </c>
      <c r="P225" t="str">
        <v/>
      </c>
      <c r="Q225" t="str">
        <v/>
      </c>
      <c r="R225" t="str">
        <v/>
      </c>
      <c r="S225" t="str">
        <v/>
      </c>
      <c r="T225" t="str">
        <v/>
      </c>
      <c r="U225" t="str">
        <v/>
      </c>
      <c r="V225" t="str">
        <v/>
      </c>
      <c r="W225" t="str">
        <v/>
      </c>
      <c r="X225" t="str">
        <v/>
      </c>
      <c r="Y225" t="str">
        <v/>
      </c>
      <c r="Z225" t="str">
        <v/>
      </c>
      <c r="AA225" t="str">
        <v/>
      </c>
      <c r="AB225" t="str">
        <v/>
      </c>
      <c r="AC225" t="str">
        <v/>
      </c>
      <c r="AD225" t="str">
        <v/>
      </c>
      <c r="AE225" t="str">
        <v/>
      </c>
      <c r="AF225" t="str">
        <v/>
      </c>
      <c r="AG225" t="str">
        <v/>
      </c>
      <c r="AH225" t="str">
        <v/>
      </c>
      <c r="AI225" t="str">
        <v/>
      </c>
      <c r="AJ225" t="str">
        <v/>
      </c>
      <c r="AK225" t="str">
        <v/>
      </c>
      <c r="AL225" t="str">
        <v/>
      </c>
    </row>
    <row r="226" spans="8:38" x14ac:dyDescent="0.3">
      <c r="H226" t="str">
        <v/>
      </c>
      <c r="I226" t="str">
        <v/>
      </c>
      <c r="J226" t="str">
        <v/>
      </c>
      <c r="K226" t="str">
        <v/>
      </c>
      <c r="L226" t="str">
        <v/>
      </c>
      <c r="M226" t="str">
        <v/>
      </c>
      <c r="N226" t="str">
        <v/>
      </c>
      <c r="O226" t="str">
        <v/>
      </c>
      <c r="P226" t="str">
        <v/>
      </c>
      <c r="Q226" t="str">
        <v/>
      </c>
      <c r="R226" t="str">
        <v/>
      </c>
      <c r="S226" t="str">
        <v/>
      </c>
      <c r="T226" t="str">
        <v/>
      </c>
      <c r="U226" t="str">
        <v/>
      </c>
      <c r="V226" t="str">
        <v/>
      </c>
      <c r="W226" t="str">
        <v/>
      </c>
      <c r="X226" t="str">
        <v/>
      </c>
      <c r="Y226" t="str">
        <v/>
      </c>
      <c r="Z226" t="str">
        <v/>
      </c>
      <c r="AA226" t="str">
        <v/>
      </c>
      <c r="AB226" t="str">
        <v/>
      </c>
      <c r="AC226" t="str">
        <v/>
      </c>
      <c r="AD226" t="str">
        <v/>
      </c>
      <c r="AE226" t="str">
        <v/>
      </c>
      <c r="AF226" t="str">
        <v/>
      </c>
      <c r="AG226" t="str">
        <v/>
      </c>
      <c r="AH226" t="str">
        <v/>
      </c>
      <c r="AI226" t="str">
        <v/>
      </c>
      <c r="AJ226" t="str">
        <v/>
      </c>
      <c r="AK226" t="str">
        <v/>
      </c>
      <c r="AL226" t="str">
        <v/>
      </c>
    </row>
    <row r="227" spans="8:38" x14ac:dyDescent="0.3">
      <c r="H227" t="str">
        <v/>
      </c>
      <c r="I227" t="str">
        <v/>
      </c>
      <c r="J227" t="str">
        <v/>
      </c>
      <c r="K227" t="str">
        <v/>
      </c>
      <c r="L227" t="str">
        <v/>
      </c>
      <c r="M227" t="str">
        <v/>
      </c>
      <c r="N227" t="str">
        <v/>
      </c>
      <c r="O227" t="str">
        <v/>
      </c>
      <c r="P227" t="str">
        <v/>
      </c>
      <c r="Q227" t="str">
        <v/>
      </c>
      <c r="R227" t="str">
        <v/>
      </c>
      <c r="S227" t="str">
        <v/>
      </c>
      <c r="T227" t="str">
        <v/>
      </c>
      <c r="U227" t="str">
        <v/>
      </c>
      <c r="V227" t="str">
        <v/>
      </c>
      <c r="W227" t="str">
        <v/>
      </c>
      <c r="X227" t="str">
        <v/>
      </c>
      <c r="Y227" t="str">
        <v/>
      </c>
      <c r="Z227" t="str">
        <v/>
      </c>
      <c r="AA227" t="str">
        <v/>
      </c>
      <c r="AB227" t="str">
        <v/>
      </c>
      <c r="AC227" t="str">
        <v/>
      </c>
      <c r="AD227" t="str">
        <v/>
      </c>
      <c r="AE227" t="str">
        <v/>
      </c>
      <c r="AF227" t="str">
        <v/>
      </c>
      <c r="AG227" t="str">
        <v/>
      </c>
      <c r="AH227" t="str">
        <v/>
      </c>
      <c r="AI227" t="str">
        <v/>
      </c>
      <c r="AJ227" t="str">
        <v/>
      </c>
      <c r="AK227" t="str">
        <v/>
      </c>
      <c r="AL227" t="str">
        <v/>
      </c>
    </row>
    <row r="228" spans="8:38" x14ac:dyDescent="0.3">
      <c r="H228" t="str">
        <v/>
      </c>
      <c r="I228" t="str">
        <v/>
      </c>
      <c r="J228" t="str">
        <v/>
      </c>
      <c r="K228" t="str">
        <v/>
      </c>
      <c r="L228" t="str">
        <v/>
      </c>
      <c r="M228" t="str">
        <v/>
      </c>
      <c r="N228" t="str">
        <v/>
      </c>
      <c r="O228" t="str">
        <v/>
      </c>
      <c r="P228" t="str">
        <v/>
      </c>
      <c r="Q228" t="str">
        <v/>
      </c>
      <c r="R228" t="str">
        <v/>
      </c>
      <c r="S228" t="str">
        <v/>
      </c>
      <c r="T228" t="str">
        <v/>
      </c>
      <c r="U228" t="str">
        <v/>
      </c>
      <c r="V228" t="str">
        <v/>
      </c>
      <c r="W228" t="str">
        <v/>
      </c>
      <c r="X228" t="str">
        <v/>
      </c>
      <c r="Y228" t="str">
        <v/>
      </c>
      <c r="Z228" t="str">
        <v/>
      </c>
      <c r="AA228" t="str">
        <v/>
      </c>
      <c r="AB228" t="str">
        <v/>
      </c>
      <c r="AC228" t="str">
        <v/>
      </c>
      <c r="AD228" t="str">
        <v/>
      </c>
      <c r="AE228" t="str">
        <v/>
      </c>
      <c r="AF228" t="str">
        <v/>
      </c>
      <c r="AG228" t="str">
        <v/>
      </c>
      <c r="AH228" t="str">
        <v/>
      </c>
      <c r="AI228" t="str">
        <v/>
      </c>
      <c r="AJ228" t="str">
        <v/>
      </c>
      <c r="AK228" t="str">
        <v/>
      </c>
      <c r="AL228" t="str">
        <v/>
      </c>
    </row>
    <row r="229" spans="8:38" x14ac:dyDescent="0.3">
      <c r="H229" t="str">
        <v/>
      </c>
      <c r="I229" t="str">
        <v/>
      </c>
      <c r="J229" t="str">
        <v/>
      </c>
      <c r="K229" t="str">
        <v/>
      </c>
      <c r="L229" t="str">
        <v/>
      </c>
      <c r="M229" t="str">
        <v/>
      </c>
      <c r="N229" t="str">
        <v/>
      </c>
      <c r="O229" t="str">
        <v/>
      </c>
      <c r="P229" t="str">
        <v/>
      </c>
      <c r="Q229" t="str">
        <v/>
      </c>
      <c r="R229" t="str">
        <v/>
      </c>
      <c r="S229" t="str">
        <v/>
      </c>
      <c r="T229" t="str">
        <v/>
      </c>
      <c r="U229" t="str">
        <v/>
      </c>
      <c r="V229" t="str">
        <v/>
      </c>
      <c r="W229" t="str">
        <v/>
      </c>
      <c r="X229" t="str">
        <v/>
      </c>
      <c r="Y229" t="str">
        <v/>
      </c>
      <c r="Z229" t="str">
        <v/>
      </c>
      <c r="AA229" t="str">
        <v/>
      </c>
      <c r="AB229" t="str">
        <v/>
      </c>
      <c r="AC229" t="str">
        <v/>
      </c>
      <c r="AD229" t="str">
        <v/>
      </c>
      <c r="AE229" t="str">
        <v/>
      </c>
      <c r="AF229" t="str">
        <v/>
      </c>
      <c r="AG229" t="str">
        <v/>
      </c>
      <c r="AH229" t="str">
        <v/>
      </c>
      <c r="AI229" t="str">
        <v/>
      </c>
      <c r="AJ229" t="str">
        <v/>
      </c>
      <c r="AK229" t="str">
        <v/>
      </c>
      <c r="AL229" t="str">
        <v/>
      </c>
    </row>
    <row r="230" spans="8:38" x14ac:dyDescent="0.3">
      <c r="H230" t="str">
        <v/>
      </c>
      <c r="I230" t="str">
        <v/>
      </c>
      <c r="J230" t="str">
        <v/>
      </c>
      <c r="K230" t="str">
        <v/>
      </c>
      <c r="L230" t="str">
        <v/>
      </c>
      <c r="M230" t="str">
        <v/>
      </c>
      <c r="N230" t="str">
        <v/>
      </c>
      <c r="O230" t="str">
        <v/>
      </c>
      <c r="P230" t="str">
        <v/>
      </c>
      <c r="Q230" t="str">
        <v/>
      </c>
      <c r="R230" t="str">
        <v/>
      </c>
      <c r="S230" t="str">
        <v/>
      </c>
      <c r="T230" t="str">
        <v/>
      </c>
      <c r="U230" t="str">
        <v/>
      </c>
      <c r="V230" t="str">
        <v/>
      </c>
      <c r="W230" t="str">
        <v/>
      </c>
      <c r="X230" t="str">
        <v/>
      </c>
      <c r="Y230" t="str">
        <v/>
      </c>
      <c r="Z230" t="str">
        <v/>
      </c>
      <c r="AA230" t="str">
        <v/>
      </c>
      <c r="AB230" t="str">
        <v/>
      </c>
      <c r="AC230" t="str">
        <v/>
      </c>
      <c r="AD230" t="str">
        <v/>
      </c>
      <c r="AE230" t="str">
        <v/>
      </c>
      <c r="AF230" t="str">
        <v/>
      </c>
      <c r="AG230" t="str">
        <v/>
      </c>
      <c r="AH230" t="str">
        <v/>
      </c>
      <c r="AI230" t="str">
        <v/>
      </c>
      <c r="AJ230" t="str">
        <v/>
      </c>
      <c r="AK230" t="str">
        <v/>
      </c>
      <c r="AL230" t="str">
        <v/>
      </c>
    </row>
    <row r="231" spans="8:38" x14ac:dyDescent="0.3">
      <c r="H231" t="str">
        <v/>
      </c>
      <c r="I231" t="str">
        <v/>
      </c>
      <c r="J231" t="str">
        <v/>
      </c>
      <c r="K231" t="str">
        <v/>
      </c>
      <c r="L231" t="str">
        <v/>
      </c>
      <c r="M231" t="str">
        <v/>
      </c>
      <c r="N231" t="str">
        <v/>
      </c>
      <c r="O231" t="str">
        <v/>
      </c>
      <c r="P231" t="str">
        <v/>
      </c>
      <c r="Q231" t="str">
        <v/>
      </c>
      <c r="R231" t="str">
        <v/>
      </c>
      <c r="S231" t="str">
        <v/>
      </c>
      <c r="T231" t="str">
        <v/>
      </c>
      <c r="U231" t="str">
        <v/>
      </c>
      <c r="V231" t="str">
        <v/>
      </c>
      <c r="W231" t="str">
        <v/>
      </c>
      <c r="X231" t="str">
        <v/>
      </c>
      <c r="Y231" t="str">
        <v/>
      </c>
      <c r="Z231" t="str">
        <v/>
      </c>
      <c r="AA231" t="str">
        <v/>
      </c>
      <c r="AB231" t="str">
        <v/>
      </c>
      <c r="AC231" t="str">
        <v/>
      </c>
      <c r="AD231" t="str">
        <v/>
      </c>
      <c r="AE231" t="str">
        <v/>
      </c>
      <c r="AF231" t="str">
        <v/>
      </c>
      <c r="AG231" t="str">
        <v/>
      </c>
      <c r="AH231" t="str">
        <v/>
      </c>
      <c r="AI231" t="str">
        <v/>
      </c>
      <c r="AJ231" t="str">
        <v/>
      </c>
      <c r="AK231" t="str">
        <v/>
      </c>
      <c r="AL231" t="str">
        <v/>
      </c>
    </row>
    <row r="232" spans="8:38" x14ac:dyDescent="0.3">
      <c r="H232" t="str">
        <v/>
      </c>
      <c r="I232" t="str">
        <v/>
      </c>
      <c r="J232" t="str">
        <v/>
      </c>
      <c r="K232" t="str">
        <v/>
      </c>
      <c r="L232" t="str">
        <v/>
      </c>
      <c r="M232" t="str">
        <v/>
      </c>
      <c r="N232" t="str">
        <v/>
      </c>
      <c r="O232" t="str">
        <v/>
      </c>
      <c r="P232" t="str">
        <v/>
      </c>
      <c r="Q232" t="str">
        <v/>
      </c>
      <c r="R232" t="str">
        <v/>
      </c>
      <c r="S232" t="str">
        <v/>
      </c>
      <c r="T232" t="str">
        <v/>
      </c>
      <c r="U232" t="str">
        <v/>
      </c>
      <c r="V232" t="str">
        <v/>
      </c>
      <c r="W232" t="str">
        <v/>
      </c>
      <c r="X232" t="str">
        <v/>
      </c>
      <c r="Y232" t="str">
        <v/>
      </c>
      <c r="Z232" t="str">
        <v/>
      </c>
      <c r="AA232" t="str">
        <v/>
      </c>
      <c r="AB232" t="str">
        <v/>
      </c>
      <c r="AC232" t="str">
        <v/>
      </c>
      <c r="AD232" t="str">
        <v/>
      </c>
      <c r="AE232" t="str">
        <v/>
      </c>
      <c r="AF232" t="str">
        <v/>
      </c>
      <c r="AG232" t="str">
        <v/>
      </c>
      <c r="AH232" t="str">
        <v/>
      </c>
      <c r="AI232" t="str">
        <v/>
      </c>
      <c r="AJ232" t="str">
        <v/>
      </c>
      <c r="AK232" t="str">
        <v/>
      </c>
      <c r="AL232" t="str">
        <v/>
      </c>
    </row>
    <row r="233" spans="8:38" x14ac:dyDescent="0.3">
      <c r="H233" t="str">
        <v/>
      </c>
      <c r="I233" t="str">
        <v/>
      </c>
      <c r="J233" t="str">
        <v/>
      </c>
      <c r="K233" t="str">
        <v/>
      </c>
      <c r="L233" t="str">
        <v/>
      </c>
      <c r="M233" t="str">
        <v/>
      </c>
      <c r="N233" t="str">
        <v/>
      </c>
      <c r="O233" t="str">
        <v/>
      </c>
      <c r="P233" t="str">
        <v/>
      </c>
      <c r="Q233" t="str">
        <v/>
      </c>
      <c r="R233" t="str">
        <v/>
      </c>
      <c r="S233" t="str">
        <v/>
      </c>
      <c r="T233" t="str">
        <v/>
      </c>
      <c r="U233" t="str">
        <v/>
      </c>
      <c r="V233" t="str">
        <v/>
      </c>
      <c r="W233" t="str">
        <v/>
      </c>
      <c r="X233" t="str">
        <v/>
      </c>
      <c r="Y233" t="str">
        <v/>
      </c>
      <c r="Z233" t="str">
        <v/>
      </c>
      <c r="AA233" t="str">
        <v/>
      </c>
      <c r="AB233" t="str">
        <v/>
      </c>
      <c r="AC233" t="str">
        <v/>
      </c>
      <c r="AD233" t="str">
        <v/>
      </c>
      <c r="AE233" t="str">
        <v/>
      </c>
      <c r="AF233" t="str">
        <v/>
      </c>
      <c r="AG233" t="str">
        <v/>
      </c>
      <c r="AH233" t="str">
        <v/>
      </c>
      <c r="AI233" t="str">
        <v/>
      </c>
      <c r="AJ233" t="str">
        <v/>
      </c>
      <c r="AK233" t="str">
        <v/>
      </c>
      <c r="AL233" t="str">
        <v/>
      </c>
    </row>
    <row r="234" spans="8:38" x14ac:dyDescent="0.3">
      <c r="H234" t="str">
        <v/>
      </c>
      <c r="I234" t="str">
        <v/>
      </c>
      <c r="J234" t="str">
        <v/>
      </c>
      <c r="K234" t="str">
        <v/>
      </c>
      <c r="L234" t="str">
        <v/>
      </c>
      <c r="M234" t="str">
        <v/>
      </c>
      <c r="N234" t="str">
        <v/>
      </c>
      <c r="O234" t="str">
        <v/>
      </c>
      <c r="P234" t="str">
        <v/>
      </c>
      <c r="Q234" t="str">
        <v/>
      </c>
      <c r="R234" t="str">
        <v/>
      </c>
      <c r="S234" t="str">
        <v/>
      </c>
      <c r="T234" t="str">
        <v/>
      </c>
      <c r="U234" t="str">
        <v/>
      </c>
      <c r="V234" t="str">
        <v/>
      </c>
      <c r="W234" t="str">
        <v/>
      </c>
      <c r="X234" t="str">
        <v/>
      </c>
      <c r="Y234" t="str">
        <v/>
      </c>
      <c r="Z234" t="str">
        <v/>
      </c>
      <c r="AA234" t="str">
        <v/>
      </c>
      <c r="AB234" t="str">
        <v/>
      </c>
      <c r="AC234" t="str">
        <v/>
      </c>
      <c r="AD234" t="str">
        <v/>
      </c>
      <c r="AE234" t="str">
        <v/>
      </c>
      <c r="AF234" t="str">
        <v/>
      </c>
      <c r="AG234" t="str">
        <v/>
      </c>
      <c r="AH234" t="str">
        <v/>
      </c>
      <c r="AI234" t="str">
        <v/>
      </c>
      <c r="AJ234" t="str">
        <v/>
      </c>
      <c r="AK234" t="str">
        <v/>
      </c>
      <c r="AL234" t="str">
        <v/>
      </c>
    </row>
    <row r="235" spans="8:38" x14ac:dyDescent="0.3">
      <c r="H235" t="str">
        <v/>
      </c>
      <c r="I235" t="str">
        <v/>
      </c>
      <c r="J235" t="str">
        <v/>
      </c>
      <c r="K235" t="str">
        <v/>
      </c>
      <c r="L235" t="str">
        <v/>
      </c>
      <c r="M235" t="str">
        <v/>
      </c>
      <c r="N235" t="str">
        <v/>
      </c>
      <c r="O235" t="str">
        <v/>
      </c>
      <c r="P235" t="str">
        <v/>
      </c>
      <c r="Q235" t="str">
        <v/>
      </c>
      <c r="R235" t="str">
        <v/>
      </c>
      <c r="S235" t="str">
        <v/>
      </c>
      <c r="T235" t="str">
        <v/>
      </c>
      <c r="U235" t="str">
        <v/>
      </c>
      <c r="V235" t="str">
        <v/>
      </c>
      <c r="W235" t="str">
        <v/>
      </c>
      <c r="X235" t="str">
        <v/>
      </c>
      <c r="Y235" t="str">
        <v/>
      </c>
      <c r="Z235" t="str">
        <v/>
      </c>
      <c r="AA235" t="str">
        <v/>
      </c>
      <c r="AB235" t="str">
        <v/>
      </c>
      <c r="AC235" t="str">
        <v/>
      </c>
      <c r="AD235" t="str">
        <v/>
      </c>
      <c r="AE235" t="str">
        <v/>
      </c>
      <c r="AF235" t="str">
        <v/>
      </c>
      <c r="AG235" t="str">
        <v/>
      </c>
      <c r="AH235" t="str">
        <v/>
      </c>
      <c r="AI235" t="str">
        <v/>
      </c>
      <c r="AJ235" t="str">
        <v/>
      </c>
      <c r="AK235" t="str">
        <v/>
      </c>
      <c r="AL235" t="str">
        <v/>
      </c>
    </row>
    <row r="236" spans="8:38" x14ac:dyDescent="0.3">
      <c r="H236" t="str">
        <v/>
      </c>
      <c r="I236" t="str">
        <v/>
      </c>
      <c r="J236" t="str">
        <v/>
      </c>
      <c r="K236" t="str">
        <v/>
      </c>
      <c r="L236" t="str">
        <v/>
      </c>
      <c r="M236" t="str">
        <v/>
      </c>
      <c r="N236" t="str">
        <v/>
      </c>
      <c r="O236" t="str">
        <v/>
      </c>
      <c r="P236" t="str">
        <v/>
      </c>
      <c r="Q236" t="str">
        <v/>
      </c>
      <c r="R236" t="str">
        <v/>
      </c>
      <c r="S236" t="str">
        <v/>
      </c>
      <c r="T236" t="str">
        <v/>
      </c>
      <c r="U236" t="str">
        <v/>
      </c>
      <c r="V236" t="str">
        <v/>
      </c>
      <c r="W236" t="str">
        <v/>
      </c>
      <c r="X236" t="str">
        <v/>
      </c>
      <c r="Y236" t="str">
        <v/>
      </c>
      <c r="Z236" t="str">
        <v/>
      </c>
      <c r="AA236" t="str">
        <v/>
      </c>
      <c r="AB236" t="str">
        <v/>
      </c>
      <c r="AC236" t="str">
        <v/>
      </c>
      <c r="AD236" t="str">
        <v/>
      </c>
      <c r="AE236" t="str">
        <v/>
      </c>
      <c r="AF236" t="str">
        <v/>
      </c>
      <c r="AG236" t="str">
        <v/>
      </c>
      <c r="AH236" t="str">
        <v/>
      </c>
      <c r="AI236" t="str">
        <v/>
      </c>
      <c r="AJ236" t="str">
        <v/>
      </c>
      <c r="AK236" t="str">
        <v/>
      </c>
      <c r="AL236" t="str">
        <v/>
      </c>
    </row>
    <row r="237" spans="8:38" x14ac:dyDescent="0.3">
      <c r="H237" t="str">
        <v/>
      </c>
      <c r="I237" t="str">
        <v/>
      </c>
      <c r="J237" t="str">
        <v/>
      </c>
      <c r="K237" t="str">
        <v/>
      </c>
      <c r="L237" t="str">
        <v/>
      </c>
      <c r="M237" t="str">
        <v/>
      </c>
      <c r="N237" t="str">
        <v/>
      </c>
      <c r="O237" t="str">
        <v/>
      </c>
      <c r="P237" t="str">
        <v/>
      </c>
      <c r="Q237" t="str">
        <v/>
      </c>
      <c r="R237" t="str">
        <v/>
      </c>
      <c r="S237" t="str">
        <v/>
      </c>
      <c r="T237" t="str">
        <v/>
      </c>
      <c r="U237" t="str">
        <v/>
      </c>
      <c r="V237" t="str">
        <v/>
      </c>
      <c r="W237" t="str">
        <v/>
      </c>
      <c r="X237" t="str">
        <v/>
      </c>
      <c r="Y237" t="str">
        <v/>
      </c>
      <c r="Z237" t="str">
        <v/>
      </c>
      <c r="AA237" t="str">
        <v/>
      </c>
      <c r="AB237" t="str">
        <v/>
      </c>
      <c r="AC237" t="str">
        <v/>
      </c>
      <c r="AD237" t="str">
        <v/>
      </c>
      <c r="AE237" t="str">
        <v/>
      </c>
      <c r="AF237" t="str">
        <v/>
      </c>
      <c r="AG237" t="str">
        <v/>
      </c>
      <c r="AH237" t="str">
        <v/>
      </c>
      <c r="AI237" t="str">
        <v/>
      </c>
      <c r="AJ237" t="str">
        <v/>
      </c>
      <c r="AK237" t="str">
        <v/>
      </c>
      <c r="AL237" t="str">
        <v/>
      </c>
    </row>
    <row r="238" spans="8:38" x14ac:dyDescent="0.3">
      <c r="H238" t="str">
        <v/>
      </c>
      <c r="I238" t="str">
        <v/>
      </c>
      <c r="J238" t="str">
        <v/>
      </c>
      <c r="K238" t="str">
        <v/>
      </c>
      <c r="L238" t="str">
        <v/>
      </c>
      <c r="M238" t="str">
        <v/>
      </c>
      <c r="N238" t="str">
        <v/>
      </c>
      <c r="O238" t="str">
        <v/>
      </c>
      <c r="P238" t="str">
        <v/>
      </c>
      <c r="Q238" t="str">
        <v/>
      </c>
      <c r="R238" t="str">
        <v/>
      </c>
      <c r="S238" t="str">
        <v/>
      </c>
      <c r="T238" t="str">
        <v/>
      </c>
      <c r="U238" t="str">
        <v/>
      </c>
      <c r="V238" t="str">
        <v/>
      </c>
      <c r="W238" t="str">
        <v/>
      </c>
      <c r="X238" t="str">
        <v/>
      </c>
      <c r="Y238" t="str">
        <v/>
      </c>
      <c r="Z238" t="str">
        <v/>
      </c>
      <c r="AA238" t="str">
        <v/>
      </c>
      <c r="AB238" t="str">
        <v/>
      </c>
      <c r="AC238" t="str">
        <v/>
      </c>
      <c r="AD238" t="str">
        <v/>
      </c>
      <c r="AE238" t="str">
        <v/>
      </c>
      <c r="AF238" t="str">
        <v/>
      </c>
      <c r="AG238" t="str">
        <v/>
      </c>
      <c r="AH238" t="str">
        <v/>
      </c>
      <c r="AI238" t="str">
        <v/>
      </c>
      <c r="AJ238" t="str">
        <v/>
      </c>
      <c r="AK238" t="str">
        <v/>
      </c>
      <c r="AL238" t="str">
        <v/>
      </c>
    </row>
    <row r="239" spans="8:38" x14ac:dyDescent="0.3">
      <c r="H239" t="str">
        <v/>
      </c>
      <c r="I239" t="str">
        <v/>
      </c>
      <c r="J239" t="str">
        <v/>
      </c>
      <c r="K239" t="str">
        <v/>
      </c>
      <c r="L239" t="str">
        <v/>
      </c>
      <c r="M239" t="str">
        <v/>
      </c>
      <c r="N239" t="str">
        <v/>
      </c>
      <c r="O239" t="str">
        <v/>
      </c>
      <c r="P239" t="str">
        <v/>
      </c>
      <c r="Q239" t="str">
        <v/>
      </c>
      <c r="R239" t="str">
        <v/>
      </c>
      <c r="S239" t="str">
        <v/>
      </c>
      <c r="T239" t="str">
        <v/>
      </c>
      <c r="U239" t="str">
        <v/>
      </c>
      <c r="V239" t="str">
        <v/>
      </c>
      <c r="W239" t="str">
        <v/>
      </c>
      <c r="X239" t="str">
        <v/>
      </c>
      <c r="Y239" t="str">
        <v/>
      </c>
      <c r="Z239" t="str">
        <v/>
      </c>
      <c r="AA239" t="str">
        <v/>
      </c>
      <c r="AB239" t="str">
        <v/>
      </c>
      <c r="AC239" t="str">
        <v/>
      </c>
      <c r="AD239" t="str">
        <v/>
      </c>
      <c r="AE239" t="str">
        <v/>
      </c>
      <c r="AF239" t="str">
        <v/>
      </c>
      <c r="AG239" t="str">
        <v/>
      </c>
      <c r="AH239" t="str">
        <v/>
      </c>
      <c r="AI239" t="str">
        <v/>
      </c>
      <c r="AJ239" t="str">
        <v/>
      </c>
      <c r="AK239" t="str">
        <v/>
      </c>
      <c r="AL239" t="str">
        <v/>
      </c>
    </row>
    <row r="240" spans="8:38" x14ac:dyDescent="0.3">
      <c r="H240" t="str">
        <v/>
      </c>
      <c r="I240" t="str">
        <v/>
      </c>
      <c r="J240" t="str">
        <v/>
      </c>
      <c r="K240" t="str">
        <v/>
      </c>
      <c r="L240" t="str">
        <v/>
      </c>
      <c r="M240" t="str">
        <v/>
      </c>
      <c r="N240" t="str">
        <v/>
      </c>
      <c r="O240" t="str">
        <v/>
      </c>
      <c r="P240" t="str">
        <v/>
      </c>
      <c r="Q240" t="str">
        <v/>
      </c>
      <c r="R240" t="str">
        <v/>
      </c>
      <c r="S240" t="str">
        <v/>
      </c>
      <c r="T240" t="str">
        <v/>
      </c>
      <c r="U240" t="str">
        <v/>
      </c>
      <c r="V240" t="str">
        <v/>
      </c>
      <c r="W240" t="str">
        <v/>
      </c>
      <c r="X240" t="str">
        <v/>
      </c>
      <c r="Y240" t="str">
        <v/>
      </c>
      <c r="Z240" t="str">
        <v/>
      </c>
      <c r="AA240" t="str">
        <v/>
      </c>
      <c r="AB240" t="str">
        <v/>
      </c>
      <c r="AC240" t="str">
        <v/>
      </c>
      <c r="AD240" t="str">
        <v/>
      </c>
      <c r="AE240" t="str">
        <v/>
      </c>
      <c r="AF240" t="str">
        <v/>
      </c>
      <c r="AG240" t="str">
        <v/>
      </c>
      <c r="AH240" t="str">
        <v/>
      </c>
      <c r="AI240" t="str">
        <v/>
      </c>
      <c r="AJ240" t="str">
        <v/>
      </c>
      <c r="AK240" t="str">
        <v/>
      </c>
      <c r="AL240" t="str">
        <v/>
      </c>
    </row>
    <row r="241" spans="8:38" x14ac:dyDescent="0.3">
      <c r="H241" t="str">
        <v/>
      </c>
      <c r="I241" t="str">
        <v/>
      </c>
      <c r="J241" t="str">
        <v/>
      </c>
      <c r="K241" t="str">
        <v/>
      </c>
      <c r="L241" t="str">
        <v/>
      </c>
      <c r="M241" t="str">
        <v/>
      </c>
      <c r="N241" t="str">
        <v/>
      </c>
      <c r="O241" t="str">
        <v/>
      </c>
      <c r="P241" t="str">
        <v/>
      </c>
      <c r="Q241" t="str">
        <v/>
      </c>
      <c r="R241" t="str">
        <v/>
      </c>
      <c r="S241" t="str">
        <v/>
      </c>
      <c r="T241" t="str">
        <v/>
      </c>
      <c r="U241" t="str">
        <v/>
      </c>
      <c r="V241" t="str">
        <v/>
      </c>
      <c r="W241" t="str">
        <v/>
      </c>
      <c r="X241" t="str">
        <v/>
      </c>
      <c r="Y241" t="str">
        <v/>
      </c>
      <c r="Z241" t="str">
        <v/>
      </c>
      <c r="AA241" t="str">
        <v/>
      </c>
      <c r="AB241" t="str">
        <v/>
      </c>
      <c r="AC241" t="str">
        <v/>
      </c>
      <c r="AD241" t="str">
        <v/>
      </c>
      <c r="AE241" t="str">
        <v/>
      </c>
      <c r="AF241" t="str">
        <v/>
      </c>
      <c r="AG241" t="str">
        <v/>
      </c>
      <c r="AH241" t="str">
        <v/>
      </c>
      <c r="AI241" t="str">
        <v/>
      </c>
      <c r="AJ241" t="str">
        <v/>
      </c>
      <c r="AK241" t="str">
        <v/>
      </c>
      <c r="AL241" t="str">
        <v/>
      </c>
    </row>
    <row r="242" spans="8:38" x14ac:dyDescent="0.3">
      <c r="H242" t="str">
        <v/>
      </c>
      <c r="I242" t="str">
        <v/>
      </c>
      <c r="J242" t="str">
        <v/>
      </c>
      <c r="K242" t="str">
        <v/>
      </c>
      <c r="L242" t="str">
        <v/>
      </c>
      <c r="M242" t="str">
        <v/>
      </c>
      <c r="N242" t="str">
        <v/>
      </c>
      <c r="O242" t="str">
        <v/>
      </c>
      <c r="P242" t="str">
        <v/>
      </c>
      <c r="Q242" t="str">
        <v/>
      </c>
      <c r="R242" t="str">
        <v/>
      </c>
      <c r="S242" t="str">
        <v/>
      </c>
      <c r="T242" t="str">
        <v/>
      </c>
      <c r="U242" t="str">
        <v/>
      </c>
      <c r="V242" t="str">
        <v/>
      </c>
      <c r="W242" t="str">
        <v/>
      </c>
      <c r="X242" t="str">
        <v/>
      </c>
      <c r="Y242" t="str">
        <v/>
      </c>
      <c r="Z242" t="str">
        <v/>
      </c>
      <c r="AA242" t="str">
        <v/>
      </c>
      <c r="AB242" t="str">
        <v/>
      </c>
      <c r="AC242" t="str">
        <v/>
      </c>
      <c r="AD242" t="str">
        <v/>
      </c>
      <c r="AE242" t="str">
        <v/>
      </c>
      <c r="AF242" t="str">
        <v/>
      </c>
      <c r="AG242" t="str">
        <v/>
      </c>
      <c r="AH242" t="str">
        <v/>
      </c>
      <c r="AI242" t="str">
        <v/>
      </c>
      <c r="AJ242" t="str">
        <v/>
      </c>
      <c r="AK242" t="str">
        <v/>
      </c>
      <c r="AL242" t="str">
        <v/>
      </c>
    </row>
    <row r="243" spans="8:38" x14ac:dyDescent="0.3">
      <c r="H243" t="str">
        <v/>
      </c>
      <c r="I243" t="str">
        <v/>
      </c>
      <c r="J243" t="str">
        <v/>
      </c>
      <c r="K243" t="str">
        <v/>
      </c>
      <c r="L243" t="str">
        <v/>
      </c>
      <c r="M243" t="str">
        <v/>
      </c>
      <c r="N243" t="str">
        <v/>
      </c>
      <c r="O243" t="str">
        <v/>
      </c>
      <c r="P243" t="str">
        <v/>
      </c>
      <c r="Q243" t="str">
        <v/>
      </c>
      <c r="R243" t="str">
        <v/>
      </c>
      <c r="S243" t="str">
        <v/>
      </c>
      <c r="T243" t="str">
        <v/>
      </c>
      <c r="U243" t="str">
        <v/>
      </c>
      <c r="V243" t="str">
        <v/>
      </c>
      <c r="W243" t="str">
        <v/>
      </c>
      <c r="X243" t="str">
        <v/>
      </c>
      <c r="Y243" t="str">
        <v/>
      </c>
      <c r="Z243" t="str">
        <v/>
      </c>
      <c r="AA243" t="str">
        <v/>
      </c>
      <c r="AB243" t="str">
        <v/>
      </c>
      <c r="AC243" t="str">
        <v/>
      </c>
      <c r="AD243" t="str">
        <v/>
      </c>
      <c r="AE243" t="str">
        <v/>
      </c>
      <c r="AF243" t="str">
        <v/>
      </c>
      <c r="AG243" t="str">
        <v/>
      </c>
      <c r="AH243" t="str">
        <v/>
      </c>
      <c r="AI243" t="str">
        <v/>
      </c>
      <c r="AJ243" t="str">
        <v/>
      </c>
      <c r="AK243" t="str">
        <v/>
      </c>
      <c r="AL243" t="str">
        <v/>
      </c>
    </row>
    <row r="244" spans="8:38" x14ac:dyDescent="0.3">
      <c r="H244" t="str">
        <v/>
      </c>
      <c r="I244" t="str">
        <v/>
      </c>
      <c r="J244" t="str">
        <v/>
      </c>
      <c r="K244" t="str">
        <v/>
      </c>
      <c r="L244" t="str">
        <v/>
      </c>
      <c r="M244" t="str">
        <v/>
      </c>
      <c r="N244" t="str">
        <v/>
      </c>
      <c r="O244" t="str">
        <v/>
      </c>
      <c r="P244" t="str">
        <v/>
      </c>
      <c r="Q244" t="str">
        <v/>
      </c>
      <c r="R244" t="str">
        <v/>
      </c>
      <c r="S244" t="str">
        <v/>
      </c>
      <c r="T244" t="str">
        <v/>
      </c>
      <c r="U244" t="str">
        <v/>
      </c>
      <c r="V244" t="str">
        <v/>
      </c>
      <c r="W244" t="str">
        <v/>
      </c>
      <c r="X244" t="str">
        <v/>
      </c>
      <c r="Y244" t="str">
        <v/>
      </c>
      <c r="Z244" t="str">
        <v/>
      </c>
      <c r="AA244" t="str">
        <v/>
      </c>
      <c r="AB244" t="str">
        <v/>
      </c>
      <c r="AC244" t="str">
        <v/>
      </c>
      <c r="AD244" t="str">
        <v/>
      </c>
      <c r="AE244" t="str">
        <v/>
      </c>
      <c r="AF244" t="str">
        <v/>
      </c>
      <c r="AG244" t="str">
        <v/>
      </c>
      <c r="AH244" t="str">
        <v/>
      </c>
      <c r="AI244" t="str">
        <v/>
      </c>
      <c r="AJ244" t="str">
        <v/>
      </c>
      <c r="AK244" t="str">
        <v/>
      </c>
      <c r="AL244" t="str">
        <v/>
      </c>
    </row>
    <row r="245" spans="8:38" x14ac:dyDescent="0.3">
      <c r="H245" t="str">
        <v/>
      </c>
      <c r="I245" t="str">
        <v/>
      </c>
      <c r="J245" t="str">
        <v/>
      </c>
      <c r="K245" t="str">
        <v/>
      </c>
      <c r="L245" t="str">
        <v/>
      </c>
      <c r="M245" t="str">
        <v/>
      </c>
      <c r="N245" t="str">
        <v/>
      </c>
      <c r="O245" t="str">
        <v/>
      </c>
      <c r="P245" t="str">
        <v/>
      </c>
      <c r="Q245" t="str">
        <v/>
      </c>
      <c r="R245" t="str">
        <v/>
      </c>
      <c r="S245" t="str">
        <v/>
      </c>
      <c r="T245" t="str">
        <v/>
      </c>
      <c r="U245" t="str">
        <v/>
      </c>
      <c r="V245" t="str">
        <v/>
      </c>
      <c r="W245" t="str">
        <v/>
      </c>
      <c r="X245" t="str">
        <v/>
      </c>
      <c r="Y245" t="str">
        <v/>
      </c>
      <c r="Z245" t="str">
        <v/>
      </c>
      <c r="AA245" t="str">
        <v/>
      </c>
      <c r="AB245" t="str">
        <v/>
      </c>
      <c r="AC245" t="str">
        <v/>
      </c>
      <c r="AD245" t="str">
        <v/>
      </c>
      <c r="AE245" t="str">
        <v/>
      </c>
      <c r="AF245" t="str">
        <v/>
      </c>
      <c r="AG245" t="str">
        <v/>
      </c>
      <c r="AH245" t="str">
        <v/>
      </c>
      <c r="AI245" t="str">
        <v/>
      </c>
      <c r="AJ245" t="str">
        <v/>
      </c>
      <c r="AK245" t="str">
        <v/>
      </c>
      <c r="AL245" t="str">
        <v/>
      </c>
    </row>
    <row r="246" spans="8:38" x14ac:dyDescent="0.3">
      <c r="H246" t="str">
        <v/>
      </c>
      <c r="I246" t="str">
        <v/>
      </c>
      <c r="J246" t="str">
        <v/>
      </c>
      <c r="K246" t="str">
        <v/>
      </c>
      <c r="L246" t="str">
        <v/>
      </c>
      <c r="M246" t="str">
        <v/>
      </c>
      <c r="N246" t="str">
        <v/>
      </c>
      <c r="O246" t="str">
        <v/>
      </c>
      <c r="P246" t="str">
        <v/>
      </c>
      <c r="Q246" t="str">
        <v/>
      </c>
      <c r="R246" t="str">
        <v/>
      </c>
      <c r="S246" t="str">
        <v/>
      </c>
      <c r="T246" t="str">
        <v/>
      </c>
      <c r="U246" t="str">
        <v/>
      </c>
      <c r="V246" t="str">
        <v/>
      </c>
      <c r="W246" t="str">
        <v/>
      </c>
      <c r="X246" t="str">
        <v/>
      </c>
      <c r="Y246" t="str">
        <v/>
      </c>
      <c r="Z246" t="str">
        <v/>
      </c>
      <c r="AA246" t="str">
        <v/>
      </c>
      <c r="AB246" t="str">
        <v/>
      </c>
      <c r="AC246" t="str">
        <v/>
      </c>
      <c r="AD246" t="str">
        <v/>
      </c>
      <c r="AE246" t="str">
        <v/>
      </c>
      <c r="AF246" t="str">
        <v/>
      </c>
      <c r="AG246" t="str">
        <v/>
      </c>
      <c r="AH246" t="str">
        <v/>
      </c>
      <c r="AI246" t="str">
        <v/>
      </c>
      <c r="AJ246" t="str">
        <v/>
      </c>
      <c r="AK246" t="str">
        <v/>
      </c>
      <c r="AL246" t="str">
        <v/>
      </c>
    </row>
    <row r="247" spans="8:38" x14ac:dyDescent="0.3">
      <c r="H247" t="str">
        <v/>
      </c>
      <c r="I247" t="str">
        <v/>
      </c>
      <c r="J247" t="str">
        <v/>
      </c>
      <c r="K247" t="str">
        <v/>
      </c>
      <c r="L247" t="str">
        <v/>
      </c>
      <c r="M247" t="str">
        <v/>
      </c>
      <c r="N247" t="str">
        <v/>
      </c>
      <c r="O247" t="str">
        <v/>
      </c>
      <c r="P247" t="str">
        <v/>
      </c>
      <c r="Q247" t="str">
        <v/>
      </c>
      <c r="R247" t="str">
        <v/>
      </c>
      <c r="S247" t="str">
        <v/>
      </c>
      <c r="T247" t="str">
        <v/>
      </c>
      <c r="U247" t="str">
        <v/>
      </c>
      <c r="V247" t="str">
        <v/>
      </c>
      <c r="W247" t="str">
        <v/>
      </c>
      <c r="X247" t="str">
        <v/>
      </c>
      <c r="Y247" t="str">
        <v/>
      </c>
      <c r="Z247" t="str">
        <v/>
      </c>
      <c r="AA247" t="str">
        <v/>
      </c>
      <c r="AB247" t="str">
        <v/>
      </c>
      <c r="AC247" t="str">
        <v/>
      </c>
      <c r="AD247" t="str">
        <v/>
      </c>
      <c r="AE247" t="str">
        <v/>
      </c>
      <c r="AF247" t="str">
        <v/>
      </c>
      <c r="AG247" t="str">
        <v/>
      </c>
      <c r="AH247" t="str">
        <v/>
      </c>
      <c r="AI247" t="str">
        <v/>
      </c>
      <c r="AJ247" t="str">
        <v/>
      </c>
      <c r="AK247" t="str">
        <v/>
      </c>
      <c r="AL247" t="str">
        <v/>
      </c>
    </row>
    <row r="248" spans="8:38" x14ac:dyDescent="0.3">
      <c r="H248" t="str">
        <v/>
      </c>
      <c r="I248" t="str">
        <v/>
      </c>
      <c r="J248" t="str">
        <v/>
      </c>
      <c r="K248" t="str">
        <v/>
      </c>
      <c r="L248" t="str">
        <v/>
      </c>
      <c r="M248" t="str">
        <v/>
      </c>
      <c r="N248" t="str">
        <v/>
      </c>
      <c r="O248" t="str">
        <v/>
      </c>
      <c r="P248" t="str">
        <v/>
      </c>
      <c r="Q248" t="str">
        <v/>
      </c>
      <c r="R248" t="str">
        <v/>
      </c>
      <c r="S248" t="str">
        <v/>
      </c>
      <c r="T248" t="str">
        <v/>
      </c>
      <c r="U248" t="str">
        <v/>
      </c>
      <c r="V248" t="str">
        <v/>
      </c>
      <c r="W248" t="str">
        <v/>
      </c>
      <c r="X248" t="str">
        <v/>
      </c>
      <c r="Y248" t="str">
        <v/>
      </c>
      <c r="Z248" t="str">
        <v/>
      </c>
      <c r="AA248" t="str">
        <v/>
      </c>
      <c r="AB248" t="str">
        <v/>
      </c>
      <c r="AC248" t="str">
        <v/>
      </c>
      <c r="AD248" t="str">
        <v/>
      </c>
      <c r="AE248" t="str">
        <v/>
      </c>
      <c r="AF248" t="str">
        <v/>
      </c>
      <c r="AG248" t="str">
        <v/>
      </c>
      <c r="AH248" t="str">
        <v/>
      </c>
      <c r="AI248" t="str">
        <v/>
      </c>
      <c r="AJ248" t="str">
        <v/>
      </c>
      <c r="AK248" t="str">
        <v/>
      </c>
      <c r="AL248" t="str">
        <v/>
      </c>
    </row>
    <row r="249" spans="8:38" x14ac:dyDescent="0.3">
      <c r="H249" t="str">
        <v/>
      </c>
      <c r="I249" t="str">
        <v/>
      </c>
      <c r="J249" t="str">
        <v/>
      </c>
      <c r="K249" t="str">
        <v/>
      </c>
      <c r="L249" t="str">
        <v/>
      </c>
      <c r="M249" t="str">
        <v/>
      </c>
      <c r="N249" t="str">
        <v/>
      </c>
      <c r="O249" t="str">
        <v/>
      </c>
      <c r="P249" t="str">
        <v/>
      </c>
      <c r="Q249" t="str">
        <v/>
      </c>
      <c r="R249" t="str">
        <v/>
      </c>
      <c r="S249" t="str">
        <v/>
      </c>
      <c r="T249" t="str">
        <v/>
      </c>
      <c r="U249" t="str">
        <v/>
      </c>
      <c r="V249" t="str">
        <v/>
      </c>
      <c r="W249" t="str">
        <v/>
      </c>
      <c r="X249" t="str">
        <v/>
      </c>
      <c r="Y249" t="str">
        <v/>
      </c>
      <c r="Z249" t="str">
        <v/>
      </c>
      <c r="AA249" t="str">
        <v/>
      </c>
      <c r="AB249" t="str">
        <v/>
      </c>
      <c r="AC249" t="str">
        <v/>
      </c>
      <c r="AD249" t="str">
        <v/>
      </c>
      <c r="AE249" t="str">
        <v/>
      </c>
      <c r="AF249" t="str">
        <v/>
      </c>
      <c r="AG249" t="str">
        <v/>
      </c>
      <c r="AH249" t="str">
        <v/>
      </c>
      <c r="AI249" t="str">
        <v/>
      </c>
      <c r="AJ249" t="str">
        <v/>
      </c>
      <c r="AK249" t="str">
        <v/>
      </c>
      <c r="AL249" t="str">
        <v/>
      </c>
    </row>
    <row r="250" spans="8:38" x14ac:dyDescent="0.3">
      <c r="H250" t="str">
        <v/>
      </c>
      <c r="I250" t="str">
        <v/>
      </c>
      <c r="J250" t="str">
        <v/>
      </c>
      <c r="K250" t="str">
        <v/>
      </c>
      <c r="L250" t="str">
        <v/>
      </c>
      <c r="M250" t="str">
        <v/>
      </c>
      <c r="N250" t="str">
        <v/>
      </c>
      <c r="O250" t="str">
        <v/>
      </c>
      <c r="P250" t="str">
        <v/>
      </c>
      <c r="Q250" t="str">
        <v/>
      </c>
      <c r="R250" t="str">
        <v/>
      </c>
      <c r="S250" t="str">
        <v/>
      </c>
      <c r="T250" t="str">
        <v/>
      </c>
      <c r="U250" t="str">
        <v/>
      </c>
      <c r="V250" t="str">
        <v/>
      </c>
      <c r="W250" t="str">
        <v/>
      </c>
      <c r="X250" t="str">
        <v/>
      </c>
      <c r="Y250" t="str">
        <v/>
      </c>
      <c r="Z250" t="str">
        <v/>
      </c>
      <c r="AA250" t="str">
        <v/>
      </c>
      <c r="AB250" t="str">
        <v/>
      </c>
      <c r="AC250" t="str">
        <v/>
      </c>
      <c r="AD250" t="str">
        <v/>
      </c>
      <c r="AE250" t="str">
        <v/>
      </c>
      <c r="AF250" t="str">
        <v/>
      </c>
      <c r="AG250" t="str">
        <v/>
      </c>
      <c r="AH250" t="str">
        <v/>
      </c>
      <c r="AI250" t="str">
        <v/>
      </c>
      <c r="AJ250" t="str">
        <v/>
      </c>
      <c r="AK250" t="str">
        <v/>
      </c>
      <c r="AL250" t="str">
        <v/>
      </c>
    </row>
    <row r="251" spans="8:38" x14ac:dyDescent="0.3">
      <c r="H251" t="str">
        <v/>
      </c>
      <c r="I251" t="str">
        <v/>
      </c>
      <c r="J251" t="str">
        <v/>
      </c>
      <c r="K251" t="str">
        <v/>
      </c>
      <c r="L251" t="str">
        <v/>
      </c>
      <c r="M251" t="str">
        <v/>
      </c>
      <c r="N251" t="str">
        <v/>
      </c>
      <c r="O251" t="str">
        <v/>
      </c>
      <c r="P251" t="str">
        <v/>
      </c>
      <c r="Q251" t="str">
        <v/>
      </c>
      <c r="R251" t="str">
        <v/>
      </c>
      <c r="S251" t="str">
        <v/>
      </c>
      <c r="T251" t="str">
        <v/>
      </c>
      <c r="U251" t="str">
        <v/>
      </c>
      <c r="V251" t="str">
        <v/>
      </c>
      <c r="W251" t="str">
        <v/>
      </c>
      <c r="X251" t="str">
        <v/>
      </c>
      <c r="Y251" t="str">
        <v/>
      </c>
      <c r="Z251" t="str">
        <v/>
      </c>
      <c r="AA251" t="str">
        <v/>
      </c>
      <c r="AB251" t="str">
        <v/>
      </c>
      <c r="AC251" t="str">
        <v/>
      </c>
      <c r="AD251" t="str">
        <v/>
      </c>
      <c r="AE251" t="str">
        <v/>
      </c>
      <c r="AF251" t="str">
        <v/>
      </c>
      <c r="AG251" t="str">
        <v/>
      </c>
      <c r="AH251" t="str">
        <v/>
      </c>
      <c r="AI251" t="str">
        <v/>
      </c>
      <c r="AJ251" t="str">
        <v/>
      </c>
      <c r="AK251" t="str">
        <v/>
      </c>
      <c r="AL251" t="str">
        <v/>
      </c>
    </row>
    <row r="252" spans="8:38" x14ac:dyDescent="0.3">
      <c r="H252" t="str">
        <v/>
      </c>
      <c r="I252" t="str">
        <v/>
      </c>
      <c r="J252" t="str">
        <v/>
      </c>
      <c r="K252" t="str">
        <v/>
      </c>
      <c r="L252" t="str">
        <v/>
      </c>
      <c r="M252" t="str">
        <v/>
      </c>
      <c r="N252" t="str">
        <v/>
      </c>
      <c r="O252" t="str">
        <v/>
      </c>
      <c r="P252" t="str">
        <v/>
      </c>
      <c r="Q252" t="str">
        <v/>
      </c>
      <c r="R252" t="str">
        <v/>
      </c>
      <c r="S252" t="str">
        <v/>
      </c>
      <c r="T252" t="str">
        <v/>
      </c>
      <c r="U252" t="str">
        <v/>
      </c>
      <c r="V252" t="str">
        <v/>
      </c>
      <c r="W252" t="str">
        <v/>
      </c>
      <c r="X252" t="str">
        <v/>
      </c>
      <c r="Y252" t="str">
        <v/>
      </c>
      <c r="Z252" t="str">
        <v/>
      </c>
      <c r="AA252" t="str">
        <v/>
      </c>
      <c r="AB252" t="str">
        <v/>
      </c>
      <c r="AC252" t="str">
        <v/>
      </c>
      <c r="AD252" t="str">
        <v/>
      </c>
      <c r="AE252" t="str">
        <v/>
      </c>
      <c r="AF252" t="str">
        <v/>
      </c>
      <c r="AG252" t="str">
        <v/>
      </c>
      <c r="AH252" t="str">
        <v/>
      </c>
      <c r="AI252" t="str">
        <v/>
      </c>
      <c r="AJ252" t="str">
        <v/>
      </c>
      <c r="AK252" t="str">
        <v/>
      </c>
      <c r="AL252" t="str">
        <v/>
      </c>
    </row>
    <row r="253" spans="8:38" x14ac:dyDescent="0.3">
      <c r="H253" t="str">
        <v/>
      </c>
      <c r="I253" t="str">
        <v/>
      </c>
      <c r="J253" t="str">
        <v/>
      </c>
      <c r="K253" t="str">
        <v/>
      </c>
      <c r="L253" t="str">
        <v/>
      </c>
      <c r="M253" t="str">
        <v/>
      </c>
      <c r="N253" t="str">
        <v/>
      </c>
      <c r="O253" t="str">
        <v/>
      </c>
      <c r="P253" t="str">
        <v/>
      </c>
      <c r="Q253" t="str">
        <v/>
      </c>
      <c r="R253" t="str">
        <v/>
      </c>
      <c r="S253" t="str">
        <v/>
      </c>
      <c r="T253" t="str">
        <v/>
      </c>
      <c r="U253" t="str">
        <v/>
      </c>
      <c r="V253" t="str">
        <v/>
      </c>
      <c r="W253" t="str">
        <v/>
      </c>
      <c r="X253" t="str">
        <v/>
      </c>
      <c r="Y253" t="str">
        <v/>
      </c>
      <c r="Z253" t="str">
        <v/>
      </c>
      <c r="AA253" t="str">
        <v/>
      </c>
      <c r="AB253" t="str">
        <v/>
      </c>
      <c r="AC253" t="str">
        <v/>
      </c>
      <c r="AD253" t="str">
        <v/>
      </c>
      <c r="AE253" t="str">
        <v/>
      </c>
      <c r="AF253" t="str">
        <v/>
      </c>
      <c r="AG253" t="str">
        <v/>
      </c>
      <c r="AH253" t="str">
        <v/>
      </c>
      <c r="AI253" t="str">
        <v/>
      </c>
      <c r="AJ253" t="str">
        <v/>
      </c>
      <c r="AK253" t="str">
        <v/>
      </c>
      <c r="AL253" t="str">
        <v/>
      </c>
    </row>
    <row r="254" spans="8:38" x14ac:dyDescent="0.3">
      <c r="H254" t="str">
        <v/>
      </c>
      <c r="I254" t="str">
        <v/>
      </c>
      <c r="J254" t="str">
        <v/>
      </c>
      <c r="K254" t="str">
        <v/>
      </c>
      <c r="L254" t="str">
        <v/>
      </c>
      <c r="M254" t="str">
        <v/>
      </c>
      <c r="N254" t="str">
        <v/>
      </c>
      <c r="O254" t="str">
        <v/>
      </c>
      <c r="P254" t="str">
        <v/>
      </c>
      <c r="Q254" t="str">
        <v/>
      </c>
      <c r="R254" t="str">
        <v/>
      </c>
      <c r="S254" t="str">
        <v/>
      </c>
      <c r="T254" t="str">
        <v/>
      </c>
      <c r="U254" t="str">
        <v/>
      </c>
      <c r="V254" t="str">
        <v/>
      </c>
      <c r="W254" t="str">
        <v/>
      </c>
      <c r="X254" t="str">
        <v/>
      </c>
      <c r="Y254" t="str">
        <v/>
      </c>
      <c r="Z254" t="str">
        <v/>
      </c>
      <c r="AA254" t="str">
        <v/>
      </c>
      <c r="AB254" t="str">
        <v/>
      </c>
      <c r="AC254" t="str">
        <v/>
      </c>
      <c r="AD254" t="str">
        <v/>
      </c>
      <c r="AE254" t="str">
        <v/>
      </c>
      <c r="AF254" t="str">
        <v/>
      </c>
      <c r="AG254" t="str">
        <v/>
      </c>
      <c r="AH254" t="str">
        <v/>
      </c>
      <c r="AI254" t="str">
        <v/>
      </c>
      <c r="AJ254" t="str">
        <v/>
      </c>
      <c r="AK254" t="str">
        <v/>
      </c>
      <c r="AL254" t="str">
        <v/>
      </c>
    </row>
    <row r="255" spans="8:38" x14ac:dyDescent="0.3">
      <c r="H255" t="str">
        <v/>
      </c>
      <c r="I255" t="str">
        <v/>
      </c>
      <c r="J255" t="str">
        <v/>
      </c>
      <c r="K255" t="str">
        <v/>
      </c>
      <c r="L255" t="str">
        <v/>
      </c>
      <c r="M255" t="str">
        <v/>
      </c>
      <c r="N255" t="str">
        <v/>
      </c>
      <c r="O255" t="str">
        <v/>
      </c>
      <c r="P255" t="str">
        <v/>
      </c>
      <c r="Q255" t="str">
        <v/>
      </c>
      <c r="R255" t="str">
        <v/>
      </c>
      <c r="S255" t="str">
        <v/>
      </c>
      <c r="T255" t="str">
        <v/>
      </c>
      <c r="U255" t="str">
        <v/>
      </c>
      <c r="V255" t="str">
        <v/>
      </c>
      <c r="W255" t="str">
        <v/>
      </c>
      <c r="X255" t="str">
        <v/>
      </c>
      <c r="Y255" t="str">
        <v/>
      </c>
      <c r="Z255" t="str">
        <v/>
      </c>
      <c r="AA255" t="str">
        <v/>
      </c>
      <c r="AB255" t="str">
        <v/>
      </c>
      <c r="AC255" t="str">
        <v/>
      </c>
      <c r="AD255" t="str">
        <v/>
      </c>
      <c r="AE255" t="str">
        <v/>
      </c>
      <c r="AF255" t="str">
        <v/>
      </c>
      <c r="AG255" t="str">
        <v/>
      </c>
      <c r="AH255" t="str">
        <v/>
      </c>
      <c r="AI255" t="str">
        <v/>
      </c>
      <c r="AJ255" t="str">
        <v/>
      </c>
      <c r="AK255" t="str">
        <v/>
      </c>
      <c r="AL255" t="str">
        <v/>
      </c>
    </row>
    <row r="256" spans="8:38" x14ac:dyDescent="0.3">
      <c r="H256" t="str">
        <v/>
      </c>
      <c r="I256" t="str">
        <v/>
      </c>
      <c r="J256" t="str">
        <v/>
      </c>
      <c r="K256" t="str">
        <v/>
      </c>
      <c r="L256" t="str">
        <v/>
      </c>
      <c r="M256" t="str">
        <v/>
      </c>
      <c r="N256" t="str">
        <v/>
      </c>
      <c r="O256" t="str">
        <v/>
      </c>
      <c r="P256" t="str">
        <v/>
      </c>
      <c r="Q256" t="str">
        <v/>
      </c>
      <c r="R256" t="str">
        <v/>
      </c>
      <c r="S256" t="str">
        <v/>
      </c>
      <c r="T256" t="str">
        <v/>
      </c>
      <c r="U256" t="str">
        <v/>
      </c>
      <c r="V256" t="str">
        <v/>
      </c>
      <c r="W256" t="str">
        <v/>
      </c>
      <c r="X256" t="str">
        <v/>
      </c>
      <c r="Y256" t="str">
        <v/>
      </c>
      <c r="Z256" t="str">
        <v/>
      </c>
      <c r="AA256" t="str">
        <v/>
      </c>
      <c r="AB256" t="str">
        <v/>
      </c>
      <c r="AC256" t="str">
        <v/>
      </c>
      <c r="AD256" t="str">
        <v/>
      </c>
      <c r="AE256" t="str">
        <v/>
      </c>
      <c r="AF256" t="str">
        <v/>
      </c>
      <c r="AG256" t="str">
        <v/>
      </c>
      <c r="AH256" t="str">
        <v/>
      </c>
      <c r="AI256" t="str">
        <v/>
      </c>
      <c r="AJ256" t="str">
        <v/>
      </c>
      <c r="AK256" t="str">
        <v/>
      </c>
      <c r="AL256" t="str">
        <v/>
      </c>
    </row>
    <row r="257" spans="8:38" x14ac:dyDescent="0.3">
      <c r="H257" t="str">
        <v/>
      </c>
      <c r="I257" t="str">
        <v/>
      </c>
      <c r="J257" t="str">
        <v/>
      </c>
      <c r="K257" t="str">
        <v/>
      </c>
      <c r="L257" t="str">
        <v/>
      </c>
      <c r="M257" t="str">
        <v/>
      </c>
      <c r="N257" t="str">
        <v/>
      </c>
      <c r="O257" t="str">
        <v/>
      </c>
      <c r="P257" t="str">
        <v/>
      </c>
      <c r="Q257" t="str">
        <v/>
      </c>
      <c r="R257" t="str">
        <v/>
      </c>
      <c r="S257" t="str">
        <v/>
      </c>
      <c r="T257" t="str">
        <v/>
      </c>
      <c r="U257" t="str">
        <v/>
      </c>
      <c r="V257" t="str">
        <v/>
      </c>
      <c r="W257" t="str">
        <v/>
      </c>
      <c r="X257" t="str">
        <v/>
      </c>
      <c r="Y257" t="str">
        <v/>
      </c>
      <c r="Z257" t="str">
        <v/>
      </c>
      <c r="AA257" t="str">
        <v/>
      </c>
      <c r="AB257" t="str">
        <v/>
      </c>
      <c r="AC257" t="str">
        <v/>
      </c>
      <c r="AD257" t="str">
        <v/>
      </c>
      <c r="AE257" t="str">
        <v/>
      </c>
      <c r="AF257" t="str">
        <v/>
      </c>
      <c r="AG257" t="str">
        <v/>
      </c>
      <c r="AH257" t="str">
        <v/>
      </c>
      <c r="AI257" t="str">
        <v/>
      </c>
      <c r="AJ257" t="str">
        <v/>
      </c>
      <c r="AK257" t="str">
        <v/>
      </c>
      <c r="AL257" t="str">
        <v/>
      </c>
    </row>
    <row r="258" spans="8:38" x14ac:dyDescent="0.3">
      <c r="H258" t="str">
        <v/>
      </c>
      <c r="I258" t="str">
        <v/>
      </c>
      <c r="J258" t="str">
        <v/>
      </c>
      <c r="K258" t="str">
        <v/>
      </c>
      <c r="L258" t="str">
        <v/>
      </c>
      <c r="M258" t="str">
        <v/>
      </c>
      <c r="N258" t="str">
        <v/>
      </c>
      <c r="O258" t="str">
        <v/>
      </c>
      <c r="P258" t="str">
        <v/>
      </c>
      <c r="Q258" t="str">
        <v/>
      </c>
      <c r="R258" t="str">
        <v/>
      </c>
      <c r="S258" t="str">
        <v/>
      </c>
      <c r="T258" t="str">
        <v/>
      </c>
      <c r="U258" t="str">
        <v/>
      </c>
      <c r="V258" t="str">
        <v/>
      </c>
      <c r="W258" t="str">
        <v/>
      </c>
      <c r="X258" t="str">
        <v/>
      </c>
      <c r="Y258" t="str">
        <v/>
      </c>
      <c r="Z258" t="str">
        <v/>
      </c>
      <c r="AA258" t="str">
        <v/>
      </c>
      <c r="AB258" t="str">
        <v/>
      </c>
      <c r="AC258" t="str">
        <v/>
      </c>
      <c r="AD258" t="str">
        <v/>
      </c>
      <c r="AE258" t="str">
        <v/>
      </c>
      <c r="AF258" t="str">
        <v/>
      </c>
      <c r="AG258" t="str">
        <v/>
      </c>
      <c r="AH258" t="str">
        <v/>
      </c>
      <c r="AI258" t="str">
        <v/>
      </c>
      <c r="AJ258" t="str">
        <v/>
      </c>
      <c r="AK258" t="str">
        <v/>
      </c>
      <c r="AL258" t="str">
        <v/>
      </c>
    </row>
    <row r="259" spans="8:38" x14ac:dyDescent="0.3">
      <c r="H259" t="str">
        <v/>
      </c>
      <c r="I259" t="str">
        <v/>
      </c>
      <c r="J259" t="str">
        <v/>
      </c>
      <c r="K259" t="str">
        <v/>
      </c>
      <c r="L259" t="str">
        <v/>
      </c>
      <c r="M259" t="str">
        <v/>
      </c>
      <c r="N259" t="str">
        <v/>
      </c>
      <c r="O259" t="str">
        <v/>
      </c>
      <c r="P259" t="str">
        <v/>
      </c>
      <c r="Q259" t="str">
        <v/>
      </c>
      <c r="R259" t="str">
        <v/>
      </c>
      <c r="S259" t="str">
        <v/>
      </c>
      <c r="T259" t="str">
        <v/>
      </c>
      <c r="U259" t="str">
        <v/>
      </c>
      <c r="V259" t="str">
        <v/>
      </c>
      <c r="W259" t="str">
        <v/>
      </c>
      <c r="X259" t="str">
        <v/>
      </c>
      <c r="Y259" t="str">
        <v/>
      </c>
      <c r="Z259" t="str">
        <v/>
      </c>
      <c r="AA259" t="str">
        <v/>
      </c>
      <c r="AB259" t="str">
        <v/>
      </c>
      <c r="AC259" t="str">
        <v/>
      </c>
      <c r="AD259" t="str">
        <v/>
      </c>
      <c r="AE259" t="str">
        <v/>
      </c>
      <c r="AF259" t="str">
        <v/>
      </c>
      <c r="AG259" t="str">
        <v/>
      </c>
      <c r="AH259" t="str">
        <v/>
      </c>
      <c r="AI259" t="str">
        <v/>
      </c>
      <c r="AJ259" t="str">
        <v/>
      </c>
      <c r="AK259" t="str">
        <v/>
      </c>
      <c r="AL259" t="str">
        <v/>
      </c>
    </row>
    <row r="260" spans="8:38" x14ac:dyDescent="0.3">
      <c r="H260" t="str">
        <v/>
      </c>
      <c r="I260" t="str">
        <v/>
      </c>
      <c r="J260" t="str">
        <v/>
      </c>
      <c r="K260" t="str">
        <v/>
      </c>
      <c r="L260" t="str">
        <v/>
      </c>
      <c r="M260" t="str">
        <v/>
      </c>
      <c r="N260" t="str">
        <v/>
      </c>
      <c r="O260" t="str">
        <v/>
      </c>
      <c r="P260" t="str">
        <v/>
      </c>
      <c r="Q260" t="str">
        <v/>
      </c>
      <c r="R260" t="str">
        <v/>
      </c>
      <c r="S260" t="str">
        <v/>
      </c>
      <c r="T260" t="str">
        <v/>
      </c>
      <c r="U260" t="str">
        <v/>
      </c>
      <c r="V260" t="str">
        <v/>
      </c>
      <c r="W260" t="str">
        <v/>
      </c>
      <c r="X260" t="str">
        <v/>
      </c>
      <c r="Y260" t="str">
        <v/>
      </c>
      <c r="Z260" t="str">
        <v/>
      </c>
      <c r="AA260" t="str">
        <v/>
      </c>
      <c r="AB260" t="str">
        <v/>
      </c>
      <c r="AC260" t="str">
        <v/>
      </c>
      <c r="AD260" t="str">
        <v/>
      </c>
      <c r="AE260" t="str">
        <v/>
      </c>
      <c r="AF260" t="str">
        <v/>
      </c>
      <c r="AG260" t="str">
        <v/>
      </c>
      <c r="AH260" t="str">
        <v/>
      </c>
      <c r="AI260" t="str">
        <v/>
      </c>
      <c r="AJ260" t="str">
        <v/>
      </c>
      <c r="AK260" t="str">
        <v/>
      </c>
      <c r="AL260" t="str">
        <v/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D4E5-42C1-4DE5-B169-B8D18212659F}">
  <dimension ref="C4:L440"/>
  <sheetViews>
    <sheetView topLeftCell="B1" workbookViewId="0">
      <selection activeCell="K9" sqref="K9"/>
    </sheetView>
  </sheetViews>
  <sheetFormatPr defaultRowHeight="14.4" x14ac:dyDescent="0.3"/>
  <cols>
    <col min="3" max="3" width="19.88671875" bestFit="1" customWidth="1"/>
    <col min="4" max="4" width="15.44140625" bestFit="1" customWidth="1"/>
    <col min="5" max="5" width="29.6640625" customWidth="1"/>
    <col min="8" max="8" width="11.109375" bestFit="1" customWidth="1"/>
    <col min="9" max="9" width="14.33203125" bestFit="1" customWidth="1"/>
  </cols>
  <sheetData>
    <row r="4" spans="3:12" x14ac:dyDescent="0.3">
      <c r="C4" t="s">
        <v>17</v>
      </c>
      <c r="H4" t="s">
        <v>16</v>
      </c>
    </row>
    <row r="6" spans="3:12" x14ac:dyDescent="0.3">
      <c r="C6" t="s">
        <v>8</v>
      </c>
      <c r="D6" s="2" t="s">
        <v>9</v>
      </c>
    </row>
    <row r="7" spans="3:12" x14ac:dyDescent="0.3">
      <c r="C7" t="s">
        <v>14</v>
      </c>
      <c r="D7" s="3">
        <f>DATE(2025,6,29)</f>
        <v>45837</v>
      </c>
    </row>
    <row r="8" spans="3:12" x14ac:dyDescent="0.3">
      <c r="C8" t="s">
        <v>15</v>
      </c>
      <c r="D8" s="5">
        <f>D7+180</f>
        <v>46017</v>
      </c>
      <c r="H8" t="s">
        <v>10</v>
      </c>
      <c r="K8" t="s">
        <v>11</v>
      </c>
    </row>
    <row r="9" spans="3:12" x14ac:dyDescent="0.3">
      <c r="H9" t="str">
        <f>_xll.MS.GET_ASSET_FIELD(H8,"current_snapshot.ticker")</f>
        <v>Asset not found.</v>
      </c>
      <c r="K9" s="4" t="str">
        <f>_xll.MS.GET_ASSET_FIELD(K8,"current_snapshot.ticker")</f>
        <v>Asset not found.</v>
      </c>
    </row>
    <row r="10" spans="3:12" x14ac:dyDescent="0.3">
      <c r="H10" t="str">
        <f t="array" ref="H10:I24">_xll.MS.GET_ASSET(H8)</f>
        <v>Asset not found.</v>
      </c>
      <c r="I10" t="str">
        <v>Asset not found.</v>
      </c>
      <c r="K10" t="str">
        <f t="array" ref="K10:L24">_xll.MS.GET_ASSET(H8)</f>
        <v>Asset not found.</v>
      </c>
      <c r="L10" t="str">
        <v>Asset not found.</v>
      </c>
    </row>
    <row r="11" spans="3:12" x14ac:dyDescent="0.3">
      <c r="H11" t="str">
        <v>Asset not found.</v>
      </c>
      <c r="I11" t="str">
        <v>Asset not found.</v>
      </c>
      <c r="K11" t="str">
        <v>Asset not found.</v>
      </c>
      <c r="L11" t="str">
        <v>Asset not found.</v>
      </c>
    </row>
    <row r="12" spans="3:12" x14ac:dyDescent="0.3">
      <c r="H12" t="str">
        <v>Asset not found.</v>
      </c>
      <c r="I12" t="str">
        <v>Asset not found.</v>
      </c>
      <c r="K12" t="str">
        <v>Asset not found.</v>
      </c>
      <c r="L12" t="str">
        <v>Asset not found.</v>
      </c>
    </row>
    <row r="13" spans="3:12" x14ac:dyDescent="0.3">
      <c r="H13" t="str">
        <v>Asset not found.</v>
      </c>
      <c r="I13" t="str">
        <v>Asset not found.</v>
      </c>
      <c r="K13" t="str">
        <v>Asset not found.</v>
      </c>
      <c r="L13" t="str">
        <v>Asset not found.</v>
      </c>
    </row>
    <row r="14" spans="3:12" x14ac:dyDescent="0.3">
      <c r="H14" t="str">
        <v>Asset not found.</v>
      </c>
      <c r="I14" t="str">
        <v>Asset not found.</v>
      </c>
      <c r="K14" t="str">
        <v>Asset not found.</v>
      </c>
      <c r="L14" t="str">
        <v>Asset not found.</v>
      </c>
    </row>
    <row r="15" spans="3:12" x14ac:dyDescent="0.3">
      <c r="H15" t="str">
        <v>Asset not found.</v>
      </c>
      <c r="I15" t="str">
        <v>Asset not found.</v>
      </c>
      <c r="K15" t="str">
        <v>Asset not found.</v>
      </c>
      <c r="L15" t="str">
        <v>Asset not found.</v>
      </c>
    </row>
    <row r="16" spans="3:12" x14ac:dyDescent="0.3">
      <c r="H16" t="str">
        <v>Asset not found.</v>
      </c>
      <c r="I16" t="str">
        <v>Asset not found.</v>
      </c>
      <c r="K16" t="str">
        <v>Asset not found.</v>
      </c>
      <c r="L16" t="str">
        <v>Asset not found.</v>
      </c>
    </row>
    <row r="17" spans="4:12" x14ac:dyDescent="0.3">
      <c r="H17" t="str">
        <v>Asset not found.</v>
      </c>
      <c r="I17" t="str">
        <v>Asset not found.</v>
      </c>
      <c r="K17" t="str">
        <v>Asset not found.</v>
      </c>
      <c r="L17" t="str">
        <v>Asset not found.</v>
      </c>
    </row>
    <row r="18" spans="4:12" x14ac:dyDescent="0.3">
      <c r="H18" t="str">
        <v>Asset not found.</v>
      </c>
      <c r="I18" t="str">
        <v>Asset not found.</v>
      </c>
      <c r="K18" t="str">
        <v>Asset not found.</v>
      </c>
      <c r="L18" t="str">
        <v>Asset not found.</v>
      </c>
    </row>
    <row r="19" spans="4:12" x14ac:dyDescent="0.3">
      <c r="H19" t="str">
        <v>Asset not found.</v>
      </c>
      <c r="I19" t="str">
        <v>Asset not found.</v>
      </c>
      <c r="K19" t="str">
        <v>Asset not found.</v>
      </c>
      <c r="L19" t="str">
        <v>Asset not found.</v>
      </c>
    </row>
    <row r="20" spans="4:12" x14ac:dyDescent="0.3">
      <c r="H20" t="str">
        <v>Asset not found.</v>
      </c>
      <c r="I20" t="str">
        <v>Asset not found.</v>
      </c>
      <c r="K20" t="str">
        <v>Asset not found.</v>
      </c>
      <c r="L20" t="str">
        <v>Asset not found.</v>
      </c>
    </row>
    <row r="21" spans="4:12" x14ac:dyDescent="0.3">
      <c r="H21" t="str">
        <v>Asset not found.</v>
      </c>
      <c r="I21" t="str">
        <v>Asset not found.</v>
      </c>
      <c r="K21" t="str">
        <v>Asset not found.</v>
      </c>
      <c r="L21" t="str">
        <v>Asset not found.</v>
      </c>
    </row>
    <row r="22" spans="4:12" x14ac:dyDescent="0.3">
      <c r="H22" t="str">
        <v>Asset not found.</v>
      </c>
      <c r="I22" t="str">
        <v>Asset not found.</v>
      </c>
      <c r="K22" t="str">
        <v>Asset not found.</v>
      </c>
      <c r="L22" t="str">
        <v>Asset not found.</v>
      </c>
    </row>
    <row r="23" spans="4:12" x14ac:dyDescent="0.3">
      <c r="H23" t="str">
        <v>Asset not found.</v>
      </c>
      <c r="I23" t="str">
        <v>Asset not found.</v>
      </c>
      <c r="K23" t="str">
        <v>Asset not found.</v>
      </c>
      <c r="L23" t="str">
        <v>Asset not found.</v>
      </c>
    </row>
    <row r="24" spans="4:12" x14ac:dyDescent="0.3">
      <c r="H24" t="str">
        <v>Asset not found.</v>
      </c>
      <c r="I24" t="str">
        <v>Asset not found.</v>
      </c>
      <c r="K24" t="str">
        <v>Asset not found.</v>
      </c>
      <c r="L24" t="str">
        <v>Asset not found.</v>
      </c>
    </row>
    <row r="29" spans="4:12" x14ac:dyDescent="0.3">
      <c r="D29" t="s">
        <v>13</v>
      </c>
      <c r="H29" t="s">
        <v>18</v>
      </c>
    </row>
    <row r="30" spans="4:12" x14ac:dyDescent="0.3">
      <c r="D30" t="str" cm="1">
        <f t="array" ref="D30:F160">_xll.MS.GET_DATA_NODE(D6,D7,D8)</f>
        <v>time_index</v>
      </c>
      <c r="E30" t="str">
        <v>unique_identifier</v>
      </c>
      <c r="F30" t="str">
        <v>curve</v>
      </c>
    </row>
    <row r="31" spans="4:12" x14ac:dyDescent="0.3">
      <c r="D31" t="str">
        <v>2025-06-30T04:15:30Z</v>
      </c>
      <c r="E31" t="str">
        <v>polygon_ust_cmt_zero_curve_usd</v>
      </c>
      <c r="F31" t="str">
        <v>H4sIAPrx6WgC/02OQQoDMQwD/5JzKLLkOFa/Vvr3LptCq5sYRug1hPHEA8ntX5hzOA7IwF88h2rdRPYuFi0BxT3H/o6pw6sIERW1OEc0j5QhNFZ1JtJi3XtHWzSbV4vFhq4PAR8WwXJvKyil6/0BtVJFW7kAAAA=</v>
      </c>
      <c r="H31" t="str" cm="1">
        <f t="array" ref="H31:I38">_xll.MS.DECOMPRESS_CURVE(F31)</f>
        <v>days_to_maturity</v>
      </c>
      <c r="I31" t="str">
        <v>rate</v>
      </c>
    </row>
    <row r="32" spans="4:12" x14ac:dyDescent="0.3">
      <c r="D32" t="str">
        <v>2025-07-01T04:15:30Z</v>
      </c>
      <c r="E32" t="str">
        <v>polygon_ust_cmt_zero_curve_usd</v>
      </c>
      <c r="F32" t="str">
        <v>H4sIAPrx6WgC/02MSQoDQQzE/uJzE1wur/lamL+nhx5IdBXSR6jy1pc6MT/MlwyOcP3DsQ0zjlI0EEXlEMZcUs+O3ayYSvdMNyxB21Nh9ihYZOfc0f6dKoiqrAHblX5XOsdh/609kLSMrL6+58a/YrsAAAA=</v>
      </c>
      <c r="H32" t="str">
        <v>30</v>
      </c>
      <c r="I32">
        <v>4.2799999999999241E-2</v>
      </c>
    </row>
    <row r="33" spans="4:9" x14ac:dyDescent="0.3">
      <c r="D33" t="str">
        <v>2025-07-02T04:15:30Z</v>
      </c>
      <c r="E33" t="str">
        <v>polygon_ust_cmt_zero_curve_usd</v>
      </c>
      <c r="F33" t="str">
        <v>H4sIAPrx6WgC/02OQQ4CMQwD/9LzCtlx0jp8DfF3KrpC+DqakV9DGE88kBJ+Y8xrNA9I4m99Dc06BGERFibgDdbdkq0qZ23gWb1jdNxSxOwVaDuzzW/uaCVz36BQBZe2hT6MTK5grFYt5fL7A3/pU1y5AAAA</v>
      </c>
      <c r="H33" t="str">
        <v>91</v>
      </c>
      <c r="I33">
        <v>4.4100000000000091E-2</v>
      </c>
    </row>
    <row r="34" spans="4:9" x14ac:dyDescent="0.3">
      <c r="D34" t="str">
        <v>2025-07-03T04:15:30Z</v>
      </c>
      <c r="E34" t="str">
        <v>polygon_ust_cmt_zero_curve_usd</v>
      </c>
      <c r="F34" t="str">
        <v>H4sIAPrx6WgC/02NOQ4DMQwD/6LaCMiVqCNfC/L3GPEWq4IFB0N9zGFvvBAe8zguGx4QfPRVyzx1CAk6r05kpPuyusd8ehpqRTWu6FjGvm7LMUROO1PQ/PeOppD7zt1KmVvCHESquvcTInJU3x8zp9FEuAAAAA==</v>
      </c>
      <c r="H34" t="str">
        <v>365</v>
      </c>
      <c r="I34">
        <v>3.9976262933006268E-2</v>
      </c>
    </row>
    <row r="35" spans="4:9" x14ac:dyDescent="0.3">
      <c r="D35" t="str">
        <v>2025-07-07T04:15:30Z</v>
      </c>
      <c r="E35" t="str">
        <v>polygon_ust_cmt_zero_curve_usd</v>
      </c>
      <c r="F35" t="str">
        <v>H4sIAPrx6WgC/0WNSQ4DQQwC/+JzK4K28ZKvRfl7RuksXIuChznsjhvCC79wa9nwgOD8U7XMU4dwwzMxORr1XlbfMZAcqUtEB5ex90dyd2Rkh0cR+Z47luSqypmrIOB6IuYwshtN+LSQmf18Ad1+50S5AAAA</v>
      </c>
      <c r="H35" t="str">
        <v>730</v>
      </c>
      <c r="I35">
        <v>3.8195620320616519E-2</v>
      </c>
    </row>
    <row r="36" spans="4:9" x14ac:dyDescent="0.3">
      <c r="D36" t="str">
        <v>2025-07-08T04:15:30Z</v>
      </c>
      <c r="E36" t="str">
        <v>polygon_ust_cmt_zero_curve_usd</v>
      </c>
      <c r="F36" t="str">
        <v>H4sIAPrx6WgC/03MSw5CQQhE0b0w7hgKKD5uzbh3O7YvT4ac1H2Jqzz1oeGc+8yXDA4E/qBqiSePgNAKpjWUnUvqiik0zXyapjQuQdtv5LUxyNSxpse3d2b7ydyp7KrwyG3QOQhM7WmOaXsQ8/4ApFMOe7sAAAA=</v>
      </c>
      <c r="H36" t="str">
        <v>1825</v>
      </c>
      <c r="I36">
        <v>4.1308056844049326E-2</v>
      </c>
    </row>
    <row r="37" spans="4:9" x14ac:dyDescent="0.3">
      <c r="D37" t="str">
        <v>2025-07-09T04:15:30Z</v>
      </c>
      <c r="E37" t="str">
        <v>polygon_ust_cmt_zero_curve_usd</v>
      </c>
      <c r="F37" t="str">
        <v>H4sIAPrx6WgC/02MSwrDUAwD7+L1o1iWv71a6d2b5AVSMbth9BGqvPWlzphnxiWDLRx/omoJM7YBFIR1anrySOo+42QbowcNc/claLsj69CDNDLNNK6/nYVzSgs+k6VxOuhsCWR0NfPEKur7A+lg4NS7AAAA</v>
      </c>
      <c r="H37" t="str">
        <v>3650</v>
      </c>
      <c r="I37">
        <v>5.2928265015280342E-2</v>
      </c>
    </row>
    <row r="38" spans="4:9" x14ac:dyDescent="0.3">
      <c r="D38" t="str">
        <v>2025-07-10T04:15:30Z</v>
      </c>
      <c r="E38" t="str">
        <v>polygon_ust_cmt_zero_curve_usd</v>
      </c>
      <c r="F38" t="str">
        <v>H4sIAPrx6WgC/03MWwoDQQhE0b30dxMsLV+ztZC9R9IDGT/rcnwvk3XJS2je/1Pbq3EC8QiZe1n4KYDAoBUSDBuS9zPrKDWvRkFJ7oXSG2kny5JJd1X9vTvKZ7FUEQwZ6sOkTwS8Zg5hE2zLzxerABUfugAAAA==</v>
      </c>
      <c r="H38" t="str">
        <v>10950</v>
      </c>
      <c r="I38">
        <v>0.1126987931233496</v>
      </c>
    </row>
    <row r="39" spans="4:9" x14ac:dyDescent="0.3">
      <c r="D39" t="str">
        <v>2025-07-11T04:15:30Z</v>
      </c>
      <c r="E39" t="str">
        <v>polygon_ust_cmt_zero_curve_usd</v>
      </c>
      <c r="F39" t="str">
        <v>H4sIAPrx6WgC/02NQQ4CMQwD/9LzCtlx3CZ8DfF3KipW+Dqa8WsI44kHUgv3GL5G84Ak/tbX0PQhFKZmdLtUnnmN9auBRHBKpfYGrPD9E9XJhhArv7kjeWfQoLcpa20LfRgDtapMu8NGvj90QTJSuQAAAA==</v>
      </c>
    </row>
    <row r="40" spans="4:9" x14ac:dyDescent="0.3">
      <c r="D40" t="str">
        <v>2025-07-14T04:15:30Z</v>
      </c>
      <c r="E40" t="str">
        <v>polygon_ust_cmt_zero_curve_usd</v>
      </c>
      <c r="F40" t="str">
        <v>H4sIAPrx6WgC/0WNSQ4CQQwD/5JzC8VZ23wN8Xcimhms3Cplv8RVnvrQ8NY7sFxCHBDgP91LvPIQmHqVspjMbUv6KlMAzNyd0B1Ygm0/ybNpFbQMbrVv3bHmP4rgzAerOZbyMBgyZgnwUM69P3dQiz+5AAAA</v>
      </c>
    </row>
    <row r="41" spans="4:9" x14ac:dyDescent="0.3">
      <c r="D41" t="str">
        <v>2025-07-15T04:15:30Z</v>
      </c>
      <c r="E41" t="str">
        <v>polygon_ust_cmt_zero_curve_usd</v>
      </c>
      <c r="F41" t="str">
        <v>H4sIAPrx6WgC/03NSw5CMQxD0b1kXKF87YStobd3CgVBpkfXeUio3PWmGTW/81gydiDtD8glgTpisDBXeE1YAEv4XVPsjmmKyugt1v6pMr2NHO8kGe+9UxUmdb+ocO18RTqHzH0A9jipVajrCWDVzWG5AAAA</v>
      </c>
    </row>
    <row r="42" spans="4:9" x14ac:dyDescent="0.3">
      <c r="D42" t="str">
        <v>2025-07-16T04:15:30Z</v>
      </c>
      <c r="E42" t="str">
        <v>polygon_ust_cmt_zero_curve_usd</v>
      </c>
      <c r="F42" t="str">
        <v>H4sIAPrx6WgC/02OQQ4DMQgD/5JzVNkYCPRr1f69abNS64MPjMbiNYTxxAOu6F9MczQPcOIvPYcyDqHBgWVlQpJzrHtMXZ2yWhmei4w5WHZb2oflAoUKKb+Dx4vcX8RuUu7lvj30gbSPWEjzBMN0vQGRdyyWvAAAAA==</v>
      </c>
    </row>
    <row r="43" spans="4:9" x14ac:dyDescent="0.3">
      <c r="D43" t="str">
        <v>2025-07-17T04:15:30Z</v>
      </c>
      <c r="E43" t="str">
        <v>polygon_ust_cmt_zero_curve_usd</v>
      </c>
      <c r="F43" t="str">
        <v>H4sIAPrx6WgC/02NSw7CUAwD75L1E4rjfLka6t0pfUXg7WjGL6HKUx/qjPnNuGSwgUP/NkuYsQlcuyyciGFNLqlvTQ1p9EpvB8uXoO3WOF6AVXSEKq7g1iJ9LOa8ITr5sXQ2gzG0T1aMpimON1cBnAy7AAAA</v>
      </c>
    </row>
    <row r="44" spans="4:9" x14ac:dyDescent="0.3">
      <c r="D44" t="str">
        <v>2025-07-18T04:15:30Z</v>
      </c>
      <c r="E44" t="str">
        <v>polygon_ust_cmt_zero_curve_usd</v>
      </c>
      <c r="F44" t="str">
        <v>H4sIAPrx6WgC/02NMQ4DQQgD/7L1KcILGJyvRfl7UPaKc4dGM3yW23rby8JDj+FawgFhjwXiWs48CHu8dJpcfa26W3OIkwPA7gHofRvu3pSJWfKsf+tIScsqKMpAMMcyHYbtAQvtJoPz6/sDXnzfbrcAAAA=</v>
      </c>
    </row>
    <row r="45" spans="4:9" x14ac:dyDescent="0.3">
      <c r="D45" t="str">
        <v>2025-07-21T04:15:30Z</v>
      </c>
      <c r="E45" t="str">
        <v>polygon_ust_cmt_zero_curve_usd</v>
      </c>
      <c r="F45" t="str">
        <v>H4sIAPrx6WgC/02NMQ4DQQgD/0K9ijBgFvK16P4ekr3iXDIe8xFXeetLw6MfwZLGAQF9pJd48hCdoiPVlJVlS/Y95s2dc98gkzkEZbdk27GzwhLGxH/uWCRmMyI6QO+fpX0YTGNeVDdRPvj6AvP8sKe5AAAA</v>
      </c>
    </row>
    <row r="46" spans="4:9" x14ac:dyDescent="0.3">
      <c r="D46" t="str">
        <v>2025-07-22T04:15:30Z</v>
      </c>
      <c r="E46" t="str">
        <v>polygon_ust_cmt_zero_curve_usd</v>
      </c>
      <c r="F46" t="str">
        <v>H4sIAPrx6WgC/02MSQ4CQQwD/5JzCzlxVr6G+Ds99Ajho8vllxDyxAPOwi9qsWT0AFf8ZZYw4xD05DS8tDi+pO4vDtPGylMNLG6kbbdkzEEQ1yTp8f07XniyIzvLurP78jAHqvZW1Zy6G/V8fwDpWSrguwAAAA==</v>
      </c>
    </row>
    <row r="47" spans="4:9" x14ac:dyDescent="0.3">
      <c r="D47" t="str">
        <v>2025-07-23T04:15:30Z</v>
      </c>
      <c r="E47" t="str">
        <v>polygon_ust_cmt_zero_curve_usd</v>
      </c>
      <c r="F47" t="str">
        <v>H4sIAPrx6WgC/02NSw5CQRAC7zLrFwP0b9qrGe9ux3kxsmBDqngtw3riAbfCL1Rcq3kGJ/7S17KMs1BwoLRlSPJadcusd6dpV4ZnkWPj1k0ZGqoyJZUeX9/BIqyd0aqBpodCn22uqmSq+UoI8f4AiwAl/7oAAAA=</v>
      </c>
    </row>
    <row r="48" spans="4:9" x14ac:dyDescent="0.3">
      <c r="D48" t="str">
        <v>2025-07-24T04:15:30Z</v>
      </c>
      <c r="E48" t="str">
        <v>polygon_ust_cmt_zero_curve_usd</v>
      </c>
      <c r="F48" t="str">
        <v>H4sIAPrx6WgC/0WOSQ4CMRAD/5JzhOx2euNriL8TEWbwtVQlv4YwnnhgKXGP5nM0D1js/zLnUPghXChlyq3bWdvJqwZjIKxrM9LmYNnPkm9D0goK7G/vWO61LArJRKp3j+jDaKjeT9yjPYPx/gDaDLVsugAAAA==</v>
      </c>
    </row>
    <row r="49" spans="4:6" x14ac:dyDescent="0.3">
      <c r="D49" t="str">
        <v>2025-07-25T04:15:30Z</v>
      </c>
      <c r="E49" t="str">
        <v>polygon_ust_cmt_zero_curve_usd</v>
      </c>
      <c r="F49" t="str">
        <v>H4sIAPrx6WgC/0WOSQ4CQQwD/5JzC9nZw9cQf6dFM4MPPqRUVl5ikCcecCvcocaS4QHO+adqiWUcQkOC0YBmF31JXWtQ1tSg07h7CVt/limYuU3UHjT7Dh4twnK89t0znPsJYg4ju9WoGnRPnXh/ANp8Cea7AAAA</v>
      </c>
    </row>
    <row r="50" spans="4:6" x14ac:dyDescent="0.3">
      <c r="D50" t="str">
        <v>2025-07-28T04:15:30Z</v>
      </c>
      <c r="E50" t="str">
        <v>polygon_ust_cmt_zero_curve_usd</v>
      </c>
      <c r="F50" t="str">
        <v>H4sIAPrx6WgC/02Nyw1DQQgDe+G8igzGC6S1KL3ns4n0fB3N+GGE3XFDci6LWDZ+QOKy9FzGrYOc2OUIqKOUe1n9cwhvRuwpasBl3vGzyNC0KE5J/e0dSyrgo3Rwj95XjjnMw1Fd6T2S0M8XV7gTKroAAAA=</v>
      </c>
    </row>
    <row r="51" spans="4:6" x14ac:dyDescent="0.3">
      <c r="D51" t="str">
        <v>2025-07-29T04:15:30Z</v>
      </c>
      <c r="E51" t="str">
        <v>polygon_ust_cmt_zero_curve_usd</v>
      </c>
      <c r="F51" t="str">
        <v>H4sIAPrx6WgC/03Muw3DMBRD0V1UGwHJ989qQXaPArkw24vDzzKsN15wm8ekaw1PcDzm9GtZxkkkBFhZQGN1rbrfbLKVU1l/YdqIrVspYWoqxeqMc3hcuKtg2bkPpxDbYU4kE4gEYdux+/sDwVlgP70AAAA=</v>
      </c>
    </row>
    <row r="52" spans="4:6" x14ac:dyDescent="0.3">
      <c r="D52" t="str">
        <v>2025-07-30T04:15:30Z</v>
      </c>
      <c r="E52" t="str">
        <v>polygon_ust_cmt_zero_curve_usd</v>
      </c>
      <c r="F52" t="str">
        <v>H4sIAPrx6WgC/2WOQRJCMQhD78K64xASSvFqjne336ob2b7khYfR7e43l+C/Q+Swxj9w72GceQgmqHIVvJkaVl+ZJyfDV0SnumsYVnxaJKAsNBUo6C08vSu7Mqorp6C9tc2HYUfX9YyoSfbzBWwgfn26AAAA</v>
      </c>
    </row>
    <row r="53" spans="4:6" x14ac:dyDescent="0.3">
      <c r="D53" t="str">
        <v>2025-07-31T04:15:30Z</v>
      </c>
      <c r="E53" t="str">
        <v>polygon_ust_cmt_zero_curve_usd</v>
      </c>
      <c r="F53" t="str">
        <v>H4sIAPrx6WgC/02Myw1CMRDEesk5QjM7+6U1RO8g8kD4atmPJaw7bnAf/KBpr+EliD9mL2UcQ0eXhYsxqsm96ntDONhhnaEZ7sW2q5IoQ5aVWw3zMzxZeFtltssmGvJ3hzmSLLHTK5SoUjxf+4GF27wAAAA=</v>
      </c>
    </row>
    <row r="54" spans="4:6" x14ac:dyDescent="0.3">
      <c r="D54" t="str">
        <v>2025-08-01T04:15:30Z</v>
      </c>
      <c r="E54" t="str">
        <v>polygon_ust_cmt_zero_curve_usd</v>
      </c>
      <c r="F54" t="str">
        <v>H4sIAPrx6WgC/0XMQRLDMAhD0bt47elICAz0ap3cvWmcSdk+vj5DGG+84N54jqY5mhsUf8APtOISNaIQK8FSlc2R95iyGg5mpySuOVi2IyeK6HS3jk76tbezsAIjTWFRKZ4ZehvpSbPzw0wK7+MLVr0Kf7oAAAA=</v>
      </c>
    </row>
    <row r="55" spans="4:6" x14ac:dyDescent="0.3">
      <c r="D55" t="str">
        <v>2025-08-04T04:15:30Z</v>
      </c>
      <c r="E55" t="str">
        <v>polygon_ust_cmt_zero_curve_usd</v>
      </c>
      <c r="F55" t="str">
        <v>H4sIAPrx6WgC/0WMSQ7DQAzD/uLzoLAtL3K+VvTvHWQCRFeK/ApULv1oRM87tyVjByD1nWMJKm8CZrRmDzLcikv6iaE5Ezqk9SazxOhHCiVm39lOsuzOHSu9Chw03Azh29I5zCy8rRNguavO7w94kiUFuQAAAA==</v>
      </c>
    </row>
    <row r="56" spans="4:6" x14ac:dyDescent="0.3">
      <c r="D56" t="str">
        <v>2025-08-05T04:15:30Z</v>
      </c>
      <c r="E56" t="str">
        <v>polygon_ust_cmt_zero_curve_usd</v>
      </c>
      <c r="F56" t="str">
        <v>H4sIAPrx6WgC/0WNwQ0CQQwDe8l7hZw4cTa0huid0y0Cf8djv4ywJx7IHPziwWXjB5Dzj3oZVTfhlKaq1Nxi72X9HeMOJII5HFRHLfMdx0qHak+2Xy8l3ntHq1A4EC5BTOjSMAde7Zku9CSjhXp/AP4XydW7AAAA</v>
      </c>
    </row>
    <row r="57" spans="4:6" x14ac:dyDescent="0.3">
      <c r="D57" t="str">
        <v>2025-08-06T04:15:30Z</v>
      </c>
      <c r="E57" t="str">
        <v>polygon_ust_cmt_zero_curve_usd</v>
      </c>
      <c r="F57" t="str">
        <v>H4sIAPrx6WgC/0XMSwrDQAwD0LvMOhTZ8jdXK7l73UwgWhjDQ/ouYp34wCz7jcqxWjZQ8YYDDL+FPV9qKSHzjeQzxqxyK4ZBW8OPJaW7ZIJBtsKrQd5zu+UanGMVhSjNfw29UcTKxpmcRYu4fizDtMC6AAAA</v>
      </c>
    </row>
    <row r="58" spans="4:6" x14ac:dyDescent="0.3">
      <c r="D58" t="str">
        <v>2025-08-07T04:15:30Z</v>
      </c>
      <c r="E58" t="str">
        <v>polygon_ust_cmt_zero_curve_usd</v>
      </c>
      <c r="F58" t="str">
        <v>H4sIAPrx6WgC/0WMQQ4CMQzE/tJzhTIzSZrwNbR/p2wR+GrZryEbT3uYe9sPUHM0jhD/woQ5lHEbdSwjTSyoLOdY35mKu/MmIoo1B4qncQi00FJujPftRMGVWNtx4ZPuH6yPBDyjO5PycHRfb/LLjzi5AAAA</v>
      </c>
    </row>
    <row r="59" spans="4:6" x14ac:dyDescent="0.3">
      <c r="D59" t="str">
        <v>2025-08-08T04:15:30Z</v>
      </c>
      <c r="E59" t="str">
        <v>polygon_ust_cmt_zero_curve_usd</v>
      </c>
      <c r="F59" t="str">
        <v>H4sIAPrx6WgC/0WOSQ4CQQwD/9LnEYoTZzFfQ/ydhkYaX0tV8muFrac9jGzdc1xLOCDc7sUGUfkjoWpnF5NIoa/V/1hMhQ8znTKYeC2MH4sQnIN279J82Q4eLyOyGmqfHlltzXQYUBSmLPdRm9H7A+quYBe7AAAA</v>
      </c>
    </row>
    <row r="60" spans="4:6" x14ac:dyDescent="0.3">
      <c r="D60" t="str">
        <v>2025-08-11T04:15:30Z</v>
      </c>
      <c r="E60" t="str">
        <v>polygon_ust_cmt_zero_curve_usd</v>
      </c>
      <c r="F60" t="str">
        <v>H4sIAPrx6WgC/0WNSQoDQQwD/9LnIViWFzlfC/l7munA6CYKlT6Ltt72soiyJ1nXGhxAzpPqa7HyJtwNghk1ZF6r/y6q6IkcsGU1Wwb5GQVaGvcyhdRz684sycYWekYgfD/B5jAgJcUELRUJfH8dti+8uQAAAA==</v>
      </c>
    </row>
    <row r="61" spans="4:6" x14ac:dyDescent="0.3">
      <c r="D61" t="str">
        <v>2025-08-12T04:15:30Z</v>
      </c>
      <c r="E61" t="str">
        <v>polygon_ust_cmt_zero_curve_usd</v>
      </c>
      <c r="F61" t="str">
        <v>H4sIAPrx6WgC/02MQQoDMQwD/5JzKJZlO3K/Vvr3hs3CVifBMPMZtPG2l0Wwn7nP0TiA/gdaMQcrL8Tej70qK0XrOdZdo9yW0KlkhGxLkB8rIKuStRctV+cVPF5yebqchSBhm8H6QEAIgEKqd6C+P6T1ELO9AAAA</v>
      </c>
    </row>
    <row r="62" spans="4:6" x14ac:dyDescent="0.3">
      <c r="D62" t="str">
        <v>2025-08-13T04:15:30Z</v>
      </c>
      <c r="E62" t="str">
        <v>polygon_ust_cmt_zero_curve_usd</v>
      </c>
      <c r="F62" t="str">
        <v>H4sIAPrx6WgC/0WOSQoDQQwD/9LnIdiWFylfC/l7munA6FpUoc+Crbe9LBN6FnEt+QEhewZeC103AVVDK7KRQOa15l/D9DDaJfcabckZx0o3irarEWYVeQePVqGZFgl3ZrK3ZzpwhxgZ3fL9iYXvD9ayMGG8AAAA</v>
      </c>
    </row>
    <row r="63" spans="4:6" x14ac:dyDescent="0.3">
      <c r="D63" t="str">
        <v>2025-08-14T04:15:30Z</v>
      </c>
      <c r="E63" t="str">
        <v>polygon_ust_cmt_zero_curve_usd</v>
      </c>
      <c r="F63" t="str">
        <v>H4sIAPrx6WgC/02NSwpCQRAD7zLrQTqd/sWriXf36QiaVaCo5LFo6243i2j94thLOID2n9qLlR9CRU2RU3M1Re7V3zVOOApNdlg6Yy+MHy1QnXAVWPKZs3i85KUIqrquQm8G04HAIL0BubJC/nwBUyWesr0AAAA=</v>
      </c>
    </row>
    <row r="64" spans="4:6" x14ac:dyDescent="0.3">
      <c r="D64" t="str">
        <v>2025-08-15T04:15:30Z</v>
      </c>
      <c r="E64" t="str">
        <v>polygon_ust_cmt_zero_curve_usd</v>
      </c>
      <c r="F64" t="str">
        <v>H4sIAPrx6WgC/02MSQ4CMAzE/tJzhZJJJgtfQ/ydqEUCXy37tUzWUx7inv0DulfrFSb/xF4WPMY60tTR8EQw98rvzIrgYGxp+sy0cCPHdG1ZkKQoeX43o1tKVFl1qLMnm/w4hUgpDGBpFuP9AW2aPru6AAAA</v>
      </c>
    </row>
    <row r="65" spans="4:6" x14ac:dyDescent="0.3">
      <c r="D65" t="str">
        <v>2025-08-18T04:15:30Z</v>
      </c>
      <c r="E65" t="str">
        <v>polygon_ust_cmt_zero_curve_usd</v>
      </c>
      <c r="F65" t="str">
        <v>H4sIAPrx6WgC/02MQQpCQQxD7zLrj7Rp2mm8mnh3yx9Bswq8vLxW2Hraw8jSL911LfkhAf0jXisqbxSqDZ/BFLT2SPv7F71pgfJKTbOxvHE0wjOLuYXoKN2HR0smfKeczQKVo5kOdDhs5giwcr7fH1pKPAW+AAAA</v>
      </c>
    </row>
    <row r="66" spans="4:6" x14ac:dyDescent="0.3">
      <c r="D66" t="str">
        <v>2025-08-19T04:15:30Z</v>
      </c>
      <c r="E66" t="str">
        <v>polygon_ust_cmt_zero_curve_usd</v>
      </c>
      <c r="F66" t="str">
        <v>H4sIAPrx6WgC/02NQQpCQQxD7zLrjyRN22m9mnh3yx9Bs3rwSPJawnriAffEL5HXah4h/GeEMm6j9qyUKmuoPa61v2uqsDbDiAGva7HstJy5qVAZIwfiHjy1UMPQe7vSG6OIPo5sK4HzRd8Ivj9iu0rFuwAAAA==</v>
      </c>
    </row>
    <row r="67" spans="4:6" x14ac:dyDescent="0.3">
      <c r="D67" t="str">
        <v>2025-08-20T04:15:30Z</v>
      </c>
      <c r="E67" t="str">
        <v>polygon_ust_cmt_zero_curve_usd</v>
      </c>
      <c r="F67" t="str">
        <v>H4sIAPrx6WgC/02MSwpCQRAD7zLrQbo76U+8mry7+3BELLIrKq8FW097GJn2w4N7yY+A/VN7ofJjIFRhRJ97rr36e4ZhgKS6J8Yj9/KJU9Ezo4TIRoTO38kSTQVFSVk+fWemI91nbGQREKPR1xv/gwlnuwAAAA==</v>
      </c>
    </row>
    <row r="68" spans="4:6" x14ac:dyDescent="0.3">
      <c r="D68" t="str">
        <v>2025-08-21T04:15:30Z</v>
      </c>
      <c r="E68" t="str">
        <v>polygon_ust_cmt_zero_curve_usd</v>
      </c>
      <c r="F68" t="str">
        <v>H4sIAPrx6WgC/0XOyw0DQQgD0F44jyLA5pfWovSe0c5qw/XJxh+ByltfSo4+Z44lYwfgf1DYEmRcgukq1e60HqCX1F2GnnCLTG2N4hJrPxm6MVFOVAQ8r7YTCoLYr7erM/YC0zlmewLRzIzC0Of7A8BOT924AAAA</v>
      </c>
    </row>
    <row r="69" spans="4:6" x14ac:dyDescent="0.3">
      <c r="D69" t="str">
        <v>2025-08-22T04:15:30Z</v>
      </c>
      <c r="E69" t="str">
        <v>polygon_ust_cmt_zero_curve_usd</v>
      </c>
      <c r="F69" t="str">
        <v>H4sIAPrx6WgC/0WNSQoDQQwD/9LnIcirrHwt5O9ppgOjk0xR8mcF1hsvZLaezPS1ZIc48cQirxVdNwqh0YMIirXrtfjfC3LSXT1VbdqSjR8rofYs7YcxJvY9eLSKcDloVJbZbA06bF+0gilUbOj7A+SLtrS8AAAA</v>
      </c>
    </row>
    <row r="70" spans="4:6" x14ac:dyDescent="0.3">
      <c r="D70" t="str">
        <v>2025-08-25T04:15:30Z</v>
      </c>
      <c r="E70" t="str">
        <v>polygon_ust_cmt_zero_curve_usd</v>
      </c>
      <c r="F70" t="str">
        <v>H4sIAPrx6WgC/0XNyw0CQQwD0F7mPEJx/qY1RO8EZrXk+mzntUzWUx7iHnIf1PciDij/INZ7WcZPjEhVZ2jAhvaqa8zawCxE04U5gtZTcrg5GSgYLb+PZu/UwoKlGjJhjdHpCQ8CzXJ0ehd6Uu8PXtzsRrsAAAA=</v>
      </c>
    </row>
    <row r="71" spans="4:6" x14ac:dyDescent="0.3">
      <c r="D71" t="str">
        <v>2025-08-26T04:15:30Z</v>
      </c>
      <c r="E71" t="str">
        <v>polygon_ust_cmt_zero_curve_usd</v>
      </c>
      <c r="F71" t="str">
        <v>H4sIAPrx6WgC/0WOSQoDQQwD/9LnJsiWvOVrIX/PMB0YXYsq9FnEeuMFyfEsaq+xA7zmWdtezLgJuyPGwbJQTexV/xgLTEzGJIJ7WftRhM6CVRVUKtddO1KQKZUJdKr90jCH2fVNrQQ1LRt+f60jbz24AAAA</v>
      </c>
    </row>
    <row r="72" spans="4:6" x14ac:dyDescent="0.3">
      <c r="D72" t="str">
        <v>2025-08-27T04:15:30Z</v>
      </c>
      <c r="E72" t="str">
        <v>polygon_ust_cmt_zero_curve_usd</v>
      </c>
      <c r="F72" t="str">
        <v>H4sIAPrx6WgC/0WNSQ4DQQgD/9LnVsRmA/laNH8PmY40PlJ28Vku6y0viTB5gtyr9QBDPwH3cuImXoQpp4B0R++Vf5mzDKGcaQRZM9K5HJ9ozAerknZk3b4zg6smAQqj9CdU6cPUdFgKK+jlEdcXpFh1jboAAAA=</v>
      </c>
    </row>
    <row r="73" spans="4:6" x14ac:dyDescent="0.3">
      <c r="D73" t="str">
        <v>2025-08-28T04:15:30Z</v>
      </c>
      <c r="E73" t="str">
        <v>polygon_ust_cmt_zero_curve_usd</v>
      </c>
      <c r="F73" t="str">
        <v>H4sIAPrx6WgC/0WNXQoDQQiD7+LzUIwaf3q1snfvdKeweTDgR5KPuMpbXxph+oi1ZHCAcR4xl3jyJt7NZFkXoMzcqP5tXgjP6f2v7bYEbScVCivaJJypirvvpGiVNch9dIK/LegcCEwEOqwaVOD6AmQkJgm6AAAA</v>
      </c>
    </row>
    <row r="74" spans="4:6" x14ac:dyDescent="0.3">
      <c r="D74" t="str">
        <v>2025-08-29T04:15:30Z</v>
      </c>
      <c r="E74" t="str">
        <v>polygon_ust_cmt_zero_curve_usd</v>
      </c>
      <c r="F74" t="str">
        <v>H4sIAPrx6WgC/0WNxw3DQBADe7n3weAGbnBrhnv3QifIfDIMP8uw3njBXfBIlHu1nEC1/wrby4JXYhU0sSwDlfC98oZZlLIqvMokpIcm4xze4LOQnBNQ2i/g2VF72l0p0AHkzNAnE50q0GOIF1nfH3HoKGW7AAAA</v>
      </c>
    </row>
    <row r="75" spans="4:6" x14ac:dyDescent="0.3">
      <c r="D75" t="str">
        <v>2025-09-02T04:15:30Z</v>
      </c>
      <c r="E75" t="str">
        <v>polygon_ust_cmt_zero_curve_usd</v>
      </c>
      <c r="F75" t="str">
        <v>H4sIAPrx6WgC/03OQQoDQQhE0bv0egilVrWaq4W5eySdxbiThx8/K7DeeIHRj3G/VtsBe0KC14qtH0VJ1uawCrFG8l+LVDbDJNKpfS0rP0dEeuVsuyWUnd45UyR6isAeGDH0IXNG0qc1D1Ge9xf8d4lvugAAAA==</v>
      </c>
    </row>
    <row r="76" spans="4:6" x14ac:dyDescent="0.3">
      <c r="D76" t="str">
        <v>2025-09-03T04:15:30Z</v>
      </c>
      <c r="E76" t="str">
        <v>polygon_ust_cmt_zero_curve_usd</v>
      </c>
      <c r="F76" t="str">
        <v>H4sIAPrx6WgC/02OSQoDQQwD/+JzEyzLa74W8vc00wMTHVVo+QhV3vpSp8+fsGRwAFof0X0JMy7E3jSDXZ6VnFhSdx1LA+UdNaMD5BK0nZgr2KiG2vaacTWeXFhVKiwxY4x9AzqHwbT2Rw8jck/O9wdQZS++vQAAAA==</v>
      </c>
    </row>
    <row r="77" spans="4:6" x14ac:dyDescent="0.3">
      <c r="D77" t="str">
        <v>2025-09-04T04:15:30Z</v>
      </c>
      <c r="E77" t="str">
        <v>polygon_ust_cmt_zero_curve_usd</v>
      </c>
      <c r="F77" t="str">
        <v>H4sIAPrx6WgC/02NQQ7DQAgD/7LnqMJmYXG/VuXvJZuoqi8cxmM+w2287WXT3X4B8xjCDZD2F8UxPGMjX5rdVYUv07yk9cx5lovMyRlc4cdA8bGUseBWTCKo3IO3FpBY/bKPUNUM/XJDoBTFy+5KuM4vhDCeHb0AAAA=</v>
      </c>
    </row>
    <row r="78" spans="4:6" x14ac:dyDescent="0.3">
      <c r="D78" t="str">
        <v>2025-09-05T04:15:30Z</v>
      </c>
      <c r="E78" t="str">
        <v>polygon_ust_cmt_zero_curve_usd</v>
      </c>
      <c r="F78" t="str">
        <v>H4sIAPrx6WgC/0WOSw5CQQgE78J6YhoYPu3VzLu76LwoYUFSqaZf4pAnHthG/EatllAPQP0BXJd4xpd4tjLSkYXuHKXuME/AUBkRDm7sJdp2W800hjrmp9mHTeDxAjSq0Xt7zeZ44IGqMb0CRau54noDrtkTsbsAAAA=</v>
      </c>
    </row>
    <row r="79" spans="4:6" x14ac:dyDescent="0.3">
      <c r="D79" t="str">
        <v>2025-09-08T04:15:30Z</v>
      </c>
      <c r="E79" t="str">
        <v>polygon_ust_cmt_zero_curve_usd</v>
      </c>
      <c r="F79" t="str">
        <v>H4sIAPrx6WgC/02NSQ7DMAwD/6KzUZCSteVrRf5eww7Q8MLDYMivGOTCB1MD/3jHkOYhfAHo9CEWvpFFMnxWOR3ZPSSfOfOspinhTK8cwtJHqtRE1LSiRljsvaM5qL1eGoU+2urNSKhOy2an9ZLvH/9ymte8AAAA</v>
      </c>
    </row>
    <row r="80" spans="4:6" x14ac:dyDescent="0.3">
      <c r="D80" t="str">
        <v>2025-09-09T04:15:30Z</v>
      </c>
      <c r="E80" t="str">
        <v>polygon_ust_cmt_zero_curve_usd</v>
      </c>
      <c r="F80" t="str">
        <v>H4sIAPrx6WgC/02NSQ4CMRAD/5JzhNru9GK+hvg7YTJC+Giryq/hNp72sMWwX8CaQzgD7C9cMYdnXJMXuOTdpswqzlG3zdNRgqyZrK8NzRvatYdTCkjEpTtUWESTyH1DKDdlOhuAWDKxCrvq9wc8rypSuQAAAA==</v>
      </c>
    </row>
    <row r="81" spans="4:6" x14ac:dyDescent="0.3">
      <c r="D81" t="str">
        <v>2025-09-10T04:15:30Z</v>
      </c>
      <c r="E81" t="str">
        <v>polygon_ust_cmt_zero_curve_usd</v>
      </c>
      <c r="F81" t="str">
        <v>H4sIAPrx6WgC/02OQQ7EMAgD/5JztAKDCd6vrfr3jdoc6qMHRv6NsPG1jyWgV2IO+QOsX32tOaJ4kyjBN/fd92LOsY4sKuAEupKpZZzDG+erRae3p+0L9e07GyQgKCyojL2Nbnqgu0G5dWSmCrz+XuJok7sAAAA=</v>
      </c>
    </row>
    <row r="82" spans="4:6" x14ac:dyDescent="0.3">
      <c r="D82" t="str">
        <v>2025-09-11T04:15:30Z</v>
      </c>
      <c r="E82" t="str">
        <v>polygon_ust_cmt_zero_curve_usd</v>
      </c>
      <c r="F82" t="str">
        <v>H4sIAPrx6WgC/02OSQoDMRAD/+KzCVIvcne+FubvMTOGREcVJfQZjvHGC2GGX4Sco/kQrP6P5nDljVxioiyqgbTYaJ09F7n7WIyUy+dg2bGqhfZGBc2Z99550eG+trMLUhsR/TCinPQlU1hX8voC7qgmY7wAAAA=</v>
      </c>
    </row>
    <row r="83" spans="4:6" x14ac:dyDescent="0.3">
      <c r="D83" t="str">
        <v>2025-09-12T04:15:30Z</v>
      </c>
      <c r="E83" t="str">
        <v>polygon_ust_cmt_zero_curve_usd</v>
      </c>
      <c r="F83" t="str">
        <v>H4sIAPrx6WgC/02MSQoDQQwD/+JzEyTvztfC/D3N9ECik6BU+ohB3njB1eYXjSXDA1Dzn1xiGTeyHKUFgC7triX1vO2FJTf0VuXYErY+0rgptQZeStp9d6wAxxvcSjnDt4U5bBcrzwgjigpeX1cly2S6AAAA</v>
      </c>
    </row>
    <row r="84" spans="4:6" x14ac:dyDescent="0.3">
      <c r="D84" t="str">
        <v>2025-09-15T04:15:30Z</v>
      </c>
      <c r="E84" t="str">
        <v>polygon_ust_cmt_zero_curve_usd</v>
      </c>
      <c r="F84" t="str">
        <v>H4sIAPrx6WgC/0WNWwrDQAwD77LfS5Ffsp2rld69JhuIfgfNfJdhXfjAVfGOiL1aDkH0uxxgjJsYUzJL0IXKSu6Vj85oGm4pCHhV+l5S+txams1JQhI8wnOLSauDNkIWbNjYDxSUkdXW4+5y/f0Bh5nMr70AAAA=</v>
      </c>
    </row>
    <row r="85" spans="4:6" x14ac:dyDescent="0.3">
      <c r="D85" t="str">
        <v>2025-09-16T04:15:30Z</v>
      </c>
      <c r="E85" t="str">
        <v>polygon_ust_cmt_zero_curve_usd</v>
      </c>
      <c r="F85" t="str">
        <v>H4sIAPrx6WgC/02OSw5CQQgE78J6YppfM3g1493l+SZRWLDorgovccgTD4T23xiXtN7B7G+8lzjzm8zVMDfUNhI9TB2bEygyoFWmxlii2w62m5nguFJ5USM6T3S7jclzjFE6FPrOFHXVMzRr+qz3B1j/61K7AAAA</v>
      </c>
    </row>
    <row r="86" spans="4:6" x14ac:dyDescent="0.3">
      <c r="D86" t="str">
        <v>2025-09-17T04:15:30Z</v>
      </c>
      <c r="E86" t="str">
        <v>polygon_ust_cmt_zero_curve_usd</v>
      </c>
      <c r="F86" t="str">
        <v>H4sIAPrx6WgC/02OSQ4CQQwD/5JzCzlbJ+ZriL8TpkcIX8tl+SUOeeKB0MIvalxCPQCGPxJLfOdFfLuiYAxW7yV1T/lW7UyrTJ2u5xJtux369CNAjAi91o6WMLPvjUI3sscCD1O0eW2CzJGb7w9hhrz9uAAAAA==</v>
      </c>
    </row>
    <row r="87" spans="4:6" x14ac:dyDescent="0.3">
      <c r="D87" t="str">
        <v>2025-09-18T04:15:30Z</v>
      </c>
      <c r="E87" t="str">
        <v>polygon_ust_cmt_zero_curve_usd</v>
      </c>
      <c r="F87" t="str">
        <v>H4sIAPrx6WgC/02MOQ7DQAzE/rL1IhgdI43ytcB/j2G7MFuC/K3A+uKDtHnhtdfYLeAvIeNeUbxUVJpnEd5savbq5xZVdLWnSgF47mXypzr31gUTh4G8fndGTLuqIjli91lhbmdmYGoc3e0jHX9fSaLUuwAAAA==</v>
      </c>
    </row>
    <row r="88" spans="4:6" x14ac:dyDescent="0.3">
      <c r="D88" t="str">
        <v>2025-09-19T04:15:30Z</v>
      </c>
      <c r="E88" t="str">
        <v>polygon_ust_cmt_zero_curve_usd</v>
      </c>
      <c r="F88" t="str">
        <v>H4sIAPrx6WgC/02MyQ3DQAzEetn3ItCM7rQWuPcIXj+slzAE+Vsq6ysfMVS/zvZqHCB87QXfS8NvpKEQ7VLOZ4W98qlphFvAvKBMTg1Ff3pi1tXB8GbctSM5RklkzuxWOpL0YQDNu9OTMmHl9Qd8O7umuQAAAA==</v>
      </c>
    </row>
    <row r="89" spans="4:6" x14ac:dyDescent="0.3">
      <c r="D89" t="str">
        <v>2025-09-22T04:15:30Z</v>
      </c>
      <c r="E89" t="str">
        <v>polygon_ust_cmt_zero_curve_usd</v>
      </c>
      <c r="F89" t="str">
        <v>H4sIAPrx6WgC/02MSQoDMRDE/uKzCVVdvTlfC/P3mHgYoquQPkMYb7zgLDzQ1hyLP6H1T2+hjGPSKTWjrFCec9Q9U6GtOhSLTGoOtp3I97AiLTxg1NmdKvYpQwSLYiN2hnUkKa9EtKVtJ15f7IhVHboAAAA=</v>
      </c>
    </row>
    <row r="90" spans="4:6" x14ac:dyDescent="0.3">
      <c r="D90" t="str">
        <v>2025-09-23T04:15:30Z</v>
      </c>
      <c r="E90" t="str">
        <v>polygon_ust_cmt_zero_curve_usd</v>
      </c>
      <c r="F90" t="str">
        <v>H4sIAPrx6WgC/02NSQ4CQQwD/5JzC8VxVr6G+Ds900jgY8rlvIQqT32oI+YXyyWDG3D+07OEGYekg2xEWWn5Vuo7xjRzUtOmuxNL0HYkV43rVEHuTt5zxwqA2cMxgzcuS+cwAGH7F417oL3eH+E0Q065AAAA</v>
      </c>
    </row>
    <row r="91" spans="4:6" x14ac:dyDescent="0.3">
      <c r="D91" t="str">
        <v>2025-09-24T04:15:30Z</v>
      </c>
      <c r="E91" t="str">
        <v>polygon_ust_cmt_zero_curve_usd</v>
      </c>
      <c r="F91" t="str">
        <v>H4sIAPrx6WgC/03MQQ4CMQxD0bt0PUJx0tgJV0PcnTJlNHj75P8aYeNpD5sou0fMYzS2mP/JF4J5SpBge5Z3sLPzGPrlFs3OmWg6ONcJ5Xn1SnIaGAGeuX1KiOo0q1KIWCfrbYCLJbjTk4p+fwC7Ri2RugAAAA==</v>
      </c>
    </row>
    <row r="92" spans="4:6" x14ac:dyDescent="0.3">
      <c r="D92" t="str">
        <v>2025-09-25T04:15:30Z</v>
      </c>
      <c r="E92" t="str">
        <v>polygon_ust_cmt_zero_curve_usd</v>
      </c>
      <c r="F92" t="str">
        <v>H4sIAPrx6WgC/0WMyQ3DQAwDe9F7EVCizrQWuPcsvAZM/TTk/ISQLz5w47yxWDJ6wL43nCXMuAlLLRtNMPbPl9QjY3EMMeQ0m7lE2+LRdWkh3XfDuv32nVkY1DQGBnZl7RnmMFWt7sw9oaebXn+9QXkbugAAAA==</v>
      </c>
    </row>
    <row r="93" spans="4:6" x14ac:dyDescent="0.3">
      <c r="D93" t="str">
        <v>2025-09-26T04:15:30Z</v>
      </c>
      <c r="E93" t="str">
        <v>polygon_ust_cmt_zero_curve_usd</v>
      </c>
      <c r="F93" t="str">
        <v>H4sIAPrx6WgC/03MQQ7DMAhE0bt4bVXAwAC9WpW7F8WRWjYsPrzPgqy3vMTN5DeU2Kv1FPkv6nuBcRekWEDZ7QIhuVc+HNKKKVlRZrOH07J4wO4GKwhwzuIWz18YUMSA2q7R8yZ9mqrlWJ6tQ1Xx+gL03M5KvQAAAA==</v>
      </c>
    </row>
    <row r="94" spans="4:6" x14ac:dyDescent="0.3">
      <c r="D94" t="str">
        <v>2025-09-29T04:15:30Z</v>
      </c>
      <c r="E94" t="str">
        <v>polygon_ust_cmt_zero_curve_usd</v>
      </c>
      <c r="F94" t="str">
        <v>H4sIAPrx6WgC/0WMSwrDQAxD7zLrodjyV71ayd1rMoHIG6OH3m+ZrK98xAF5kxJ7UQ+Ze2PcyzJuYtkQb7IaqY296rFZYWpLl4JKzWZwPLoKZxqlDUbcurMKDWQp0jwB+qyEh83TqoVidLNUrz+XKBlWugAAAA==</v>
      </c>
    </row>
    <row r="95" spans="4:6" x14ac:dyDescent="0.3">
      <c r="D95" t="str">
        <v>2025-09-30T04:15:30Z</v>
      </c>
      <c r="E95" t="str">
        <v>polygon_ust_cmt_zero_curve_usd</v>
      </c>
      <c r="F95" t="str">
        <v>H4sIAPrx6WgC/02NQQoDMQwD/5JzKJIdW3a/VvbvDZuFVkcNGn2GY7zxwmL/xXKO5gEw/MI1h2fcxEXTcoaYucs59Mg8O00Zjm6CW8ayeHRKF5al15Li1p1VUECBBWxqvVfow0iUGtmVzv3I6wu3LQKyuQAAAA==</v>
      </c>
    </row>
    <row r="96" spans="4:6" x14ac:dyDescent="0.3">
      <c r="D96" t="str">
        <v>2025-10-01T04:15:30Z</v>
      </c>
      <c r="E96" t="str">
        <v>polygon_ust_cmt_zero_curve_usd</v>
      </c>
      <c r="F96" t="str">
        <v>H4sIAPrx6WgC/0WMyQ3DMAwEe+FbCLi8VkxrgXuPbMXO8sFjwPmIq7z1pQHqE1gPaWyg2v8kh3jlRVbHWYYI0mIIfzKv8Jqd0RURakMwLW9dKhOuk4yyunz7LbHOvTYWvP00QntDrAnVZsnsGczjC2ZAeZa7AAAA</v>
      </c>
    </row>
    <row r="97" spans="4:6" x14ac:dyDescent="0.3">
      <c r="D97" t="str">
        <v>2025-10-02T04:15:30Z</v>
      </c>
      <c r="E97" t="str">
        <v>polygon_ust_cmt_zero_curve_usd</v>
      </c>
      <c r="F97" t="str">
        <v>H4sIAPrx6WgC/02NSw7DQAhD7zLrqLKBAdyrVb17aRKp9Qak589rOdYTD4SZ/uTHEi8Aw0+MY3nuk8xldESbj+dL6i7zDM8K0NFpA9h2ZyQbv28k201n2xXaaKKspQKZNSnoYvMEtpqzVNOl9wdPoG5NuAAAAA==</v>
      </c>
    </row>
    <row r="98" spans="4:6" x14ac:dyDescent="0.3">
      <c r="D98" t="str">
        <v>2025-10-03T04:15:30Z</v>
      </c>
      <c r="E98" t="str">
        <v>polygon_ust_cmt_zero_curve_usd</v>
      </c>
      <c r="F98" t="str">
        <v>H4sIAPrx6WgC/03NyQ3DQAxD0V7mbASkdqW1wL1H9hhIdH3g12cp1hsvmGj/TvxYzQ2QPyiOaPhNGslKuDGVncfKJzbg1o6rKh0zYYk/OZfyMiES1rxre+UU1YA2qMm8VuhtJEgNcQ7YvDy/Yl4gpbkAAAA=</v>
      </c>
    </row>
    <row r="99" spans="4:6" x14ac:dyDescent="0.3">
      <c r="D99" t="str">
        <v>2025-10-06T04:15:30Z</v>
      </c>
      <c r="E99" t="str">
        <v>polygon_ust_cmt_zero_curve_usd</v>
      </c>
      <c r="F99" t="str">
        <v>H4sIAPrx6WgC/03MWwoDQQhE0b343YSyfLRma2H2HpkeSPTzUucjBnnjBSfxu0QsaT0F/0V9iWXcxbJpRKvNh/aS/WhTMrl71ERWjabFeLyqYlfAzbbz9s4sCDrDK1W7c0bok1TpiNZyxwajri+WGpO4ugAAAA==</v>
      </c>
    </row>
    <row r="100" spans="4:6" x14ac:dyDescent="0.3">
      <c r="D100" t="str">
        <v>2025-10-07T04:15:30Z</v>
      </c>
      <c r="E100" t="str">
        <v>polygon_ust_cmt_zero_curve_usd</v>
      </c>
      <c r="F100" t="str">
        <v>H4sIAPrx6WgC/02OOQ7EMBDD/uLaWEhzT762yN9j2CnClhCh/1CMCz8Y+4PEHM0jgI/wnEPDt9EooTEBq3b4HPnGNMJCWIHoKupSLPG3Z6hSa8kSy7YdPDvfuTBZBxyUNUMfx0WXqJKaVLsfI7AsUboAAAA=</v>
      </c>
    </row>
    <row r="101" spans="4:6" x14ac:dyDescent="0.3">
      <c r="D101" t="str">
        <v>2025-10-08T04:15:30Z</v>
      </c>
      <c r="E101" t="str">
        <v>polygon_ust_cmt_zero_curve_usd</v>
      </c>
      <c r="F101" t="str">
        <v>H4sIAPrx6WgC/03NSQ7DMAxD0bt4bRSkZGro1YrcvUacRbT90ONvOMYXHyz26yzmaJ4AvIJyDg/dxaPNxYaDxCrNkY/mkWImrMMXag6W6eFkiQ6ZkVVxc+dJNDdZy1mk1vaIPnEPJKTy1Ruk6voDV1APDboAAAA=</v>
      </c>
    </row>
    <row r="102" spans="4:6" x14ac:dyDescent="0.3">
      <c r="D102" t="e">
        <v>#N/A</v>
      </c>
      <c r="E102" t="e">
        <v>#N/A</v>
      </c>
      <c r="F102" t="e">
        <v>#N/A</v>
      </c>
    </row>
    <row r="103" spans="4:6" x14ac:dyDescent="0.3">
      <c r="D103" t="e">
        <v>#N/A</v>
      </c>
      <c r="E103" t="e">
        <v>#N/A</v>
      </c>
      <c r="F103" t="e">
        <v>#N/A</v>
      </c>
    </row>
    <row r="104" spans="4:6" x14ac:dyDescent="0.3">
      <c r="D104" t="e">
        <v>#N/A</v>
      </c>
      <c r="E104" t="e">
        <v>#N/A</v>
      </c>
      <c r="F104" t="e">
        <v>#N/A</v>
      </c>
    </row>
    <row r="105" spans="4:6" x14ac:dyDescent="0.3">
      <c r="D105" t="e">
        <v>#N/A</v>
      </c>
      <c r="E105" t="e">
        <v>#N/A</v>
      </c>
      <c r="F105" t="e">
        <v>#N/A</v>
      </c>
    </row>
    <row r="106" spans="4:6" x14ac:dyDescent="0.3">
      <c r="D106" t="e">
        <v>#N/A</v>
      </c>
      <c r="E106" t="e">
        <v>#N/A</v>
      </c>
      <c r="F106" t="e">
        <v>#N/A</v>
      </c>
    </row>
    <row r="107" spans="4:6" x14ac:dyDescent="0.3">
      <c r="D107" t="e">
        <v>#N/A</v>
      </c>
      <c r="E107" t="e">
        <v>#N/A</v>
      </c>
      <c r="F107" t="e">
        <v>#N/A</v>
      </c>
    </row>
    <row r="108" spans="4:6" x14ac:dyDescent="0.3">
      <c r="D108" t="e">
        <v>#N/A</v>
      </c>
      <c r="E108" t="e">
        <v>#N/A</v>
      </c>
      <c r="F108" t="e">
        <v>#N/A</v>
      </c>
    </row>
    <row r="109" spans="4:6" x14ac:dyDescent="0.3">
      <c r="D109" t="e">
        <v>#N/A</v>
      </c>
      <c r="E109" t="e">
        <v>#N/A</v>
      </c>
      <c r="F109" t="e">
        <v>#N/A</v>
      </c>
    </row>
    <row r="110" spans="4:6" x14ac:dyDescent="0.3">
      <c r="D110" t="e">
        <v>#N/A</v>
      </c>
      <c r="E110" t="e">
        <v>#N/A</v>
      </c>
      <c r="F110" t="e">
        <v>#N/A</v>
      </c>
    </row>
    <row r="111" spans="4:6" x14ac:dyDescent="0.3">
      <c r="D111" t="e">
        <v>#N/A</v>
      </c>
      <c r="E111" t="e">
        <v>#N/A</v>
      </c>
      <c r="F111" t="e">
        <v>#N/A</v>
      </c>
    </row>
    <row r="112" spans="4:6" x14ac:dyDescent="0.3">
      <c r="D112" t="e">
        <v>#N/A</v>
      </c>
      <c r="E112" t="e">
        <v>#N/A</v>
      </c>
      <c r="F112" t="e">
        <v>#N/A</v>
      </c>
    </row>
    <row r="113" spans="4:6" x14ac:dyDescent="0.3">
      <c r="D113" t="e">
        <v>#N/A</v>
      </c>
      <c r="E113" t="e">
        <v>#N/A</v>
      </c>
      <c r="F113" t="e">
        <v>#N/A</v>
      </c>
    </row>
    <row r="114" spans="4:6" x14ac:dyDescent="0.3">
      <c r="D114" t="e">
        <v>#N/A</v>
      </c>
      <c r="E114" t="e">
        <v>#N/A</v>
      </c>
      <c r="F114" t="e">
        <v>#N/A</v>
      </c>
    </row>
    <row r="115" spans="4:6" x14ac:dyDescent="0.3">
      <c r="D115" t="e">
        <v>#N/A</v>
      </c>
      <c r="E115" t="e">
        <v>#N/A</v>
      </c>
      <c r="F115" t="e">
        <v>#N/A</v>
      </c>
    </row>
    <row r="116" spans="4:6" x14ac:dyDescent="0.3">
      <c r="D116" t="e">
        <v>#N/A</v>
      </c>
      <c r="E116" t="e">
        <v>#N/A</v>
      </c>
      <c r="F116" t="e">
        <v>#N/A</v>
      </c>
    </row>
    <row r="117" spans="4:6" x14ac:dyDescent="0.3">
      <c r="D117" t="e">
        <v>#N/A</v>
      </c>
      <c r="E117" t="e">
        <v>#N/A</v>
      </c>
      <c r="F117" t="e">
        <v>#N/A</v>
      </c>
    </row>
    <row r="118" spans="4:6" x14ac:dyDescent="0.3">
      <c r="D118" t="e">
        <v>#N/A</v>
      </c>
      <c r="E118" t="e">
        <v>#N/A</v>
      </c>
      <c r="F118" t="e">
        <v>#N/A</v>
      </c>
    </row>
    <row r="119" spans="4:6" x14ac:dyDescent="0.3">
      <c r="D119" t="e">
        <v>#N/A</v>
      </c>
      <c r="E119" t="e">
        <v>#N/A</v>
      </c>
      <c r="F119" t="e">
        <v>#N/A</v>
      </c>
    </row>
    <row r="120" spans="4:6" x14ac:dyDescent="0.3">
      <c r="D120" t="e">
        <v>#N/A</v>
      </c>
      <c r="E120" t="e">
        <v>#N/A</v>
      </c>
      <c r="F120" t="e">
        <v>#N/A</v>
      </c>
    </row>
    <row r="121" spans="4:6" x14ac:dyDescent="0.3">
      <c r="D121" t="e">
        <v>#N/A</v>
      </c>
      <c r="E121" t="e">
        <v>#N/A</v>
      </c>
      <c r="F121" t="e">
        <v>#N/A</v>
      </c>
    </row>
    <row r="122" spans="4:6" x14ac:dyDescent="0.3">
      <c r="D122" t="e">
        <v>#N/A</v>
      </c>
      <c r="E122" t="e">
        <v>#N/A</v>
      </c>
      <c r="F122" t="e">
        <v>#N/A</v>
      </c>
    </row>
    <row r="123" spans="4:6" x14ac:dyDescent="0.3">
      <c r="D123" t="e">
        <v>#N/A</v>
      </c>
      <c r="E123" t="e">
        <v>#N/A</v>
      </c>
      <c r="F123" t="e">
        <v>#N/A</v>
      </c>
    </row>
    <row r="124" spans="4:6" x14ac:dyDescent="0.3">
      <c r="D124" t="e">
        <v>#N/A</v>
      </c>
      <c r="E124" t="e">
        <v>#N/A</v>
      </c>
      <c r="F124" t="e">
        <v>#N/A</v>
      </c>
    </row>
    <row r="125" spans="4:6" x14ac:dyDescent="0.3">
      <c r="D125" t="e">
        <v>#N/A</v>
      </c>
      <c r="E125" t="e">
        <v>#N/A</v>
      </c>
      <c r="F125" t="e">
        <v>#N/A</v>
      </c>
    </row>
    <row r="126" spans="4:6" x14ac:dyDescent="0.3">
      <c r="D126" t="e">
        <v>#N/A</v>
      </c>
      <c r="E126" t="e">
        <v>#N/A</v>
      </c>
      <c r="F126" t="e">
        <v>#N/A</v>
      </c>
    </row>
    <row r="127" spans="4:6" x14ac:dyDescent="0.3">
      <c r="D127" t="e">
        <v>#N/A</v>
      </c>
      <c r="E127" t="e">
        <v>#N/A</v>
      </c>
      <c r="F127" t="e">
        <v>#N/A</v>
      </c>
    </row>
    <row r="128" spans="4:6" x14ac:dyDescent="0.3">
      <c r="D128" t="e">
        <v>#N/A</v>
      </c>
      <c r="E128" t="e">
        <v>#N/A</v>
      </c>
      <c r="F128" t="e">
        <v>#N/A</v>
      </c>
    </row>
    <row r="129" spans="4:6" x14ac:dyDescent="0.3">
      <c r="D129" t="e">
        <v>#N/A</v>
      </c>
      <c r="E129" t="e">
        <v>#N/A</v>
      </c>
      <c r="F129" t="e">
        <v>#N/A</v>
      </c>
    </row>
    <row r="130" spans="4:6" x14ac:dyDescent="0.3">
      <c r="D130" t="e">
        <v>#N/A</v>
      </c>
      <c r="E130" t="e">
        <v>#N/A</v>
      </c>
      <c r="F130" t="e">
        <v>#N/A</v>
      </c>
    </row>
    <row r="131" spans="4:6" x14ac:dyDescent="0.3">
      <c r="D131" t="e">
        <v>#N/A</v>
      </c>
      <c r="E131" t="e">
        <v>#N/A</v>
      </c>
      <c r="F131" t="e">
        <v>#N/A</v>
      </c>
    </row>
    <row r="132" spans="4:6" x14ac:dyDescent="0.3">
      <c r="D132" t="e">
        <v>#N/A</v>
      </c>
      <c r="E132" t="e">
        <v>#N/A</v>
      </c>
      <c r="F132" t="e">
        <v>#N/A</v>
      </c>
    </row>
    <row r="133" spans="4:6" x14ac:dyDescent="0.3">
      <c r="D133" t="e">
        <v>#N/A</v>
      </c>
      <c r="E133" t="e">
        <v>#N/A</v>
      </c>
      <c r="F133" t="e">
        <v>#N/A</v>
      </c>
    </row>
    <row r="134" spans="4:6" x14ac:dyDescent="0.3">
      <c r="D134" t="e">
        <v>#N/A</v>
      </c>
      <c r="E134" t="e">
        <v>#N/A</v>
      </c>
      <c r="F134" t="e">
        <v>#N/A</v>
      </c>
    </row>
    <row r="135" spans="4:6" x14ac:dyDescent="0.3">
      <c r="D135" t="e">
        <v>#N/A</v>
      </c>
      <c r="E135" t="e">
        <v>#N/A</v>
      </c>
      <c r="F135" t="e">
        <v>#N/A</v>
      </c>
    </row>
    <row r="136" spans="4:6" x14ac:dyDescent="0.3">
      <c r="D136" t="e">
        <v>#N/A</v>
      </c>
      <c r="E136" t="e">
        <v>#N/A</v>
      </c>
      <c r="F136" t="e">
        <v>#N/A</v>
      </c>
    </row>
    <row r="137" spans="4:6" x14ac:dyDescent="0.3">
      <c r="D137" t="e">
        <v>#N/A</v>
      </c>
      <c r="E137" t="e">
        <v>#N/A</v>
      </c>
      <c r="F137" t="e">
        <v>#N/A</v>
      </c>
    </row>
    <row r="138" spans="4:6" x14ac:dyDescent="0.3">
      <c r="D138" t="e">
        <v>#N/A</v>
      </c>
      <c r="E138" t="e">
        <v>#N/A</v>
      </c>
      <c r="F138" t="e">
        <v>#N/A</v>
      </c>
    </row>
    <row r="139" spans="4:6" x14ac:dyDescent="0.3">
      <c r="D139" t="e">
        <v>#N/A</v>
      </c>
      <c r="E139" t="e">
        <v>#N/A</v>
      </c>
      <c r="F139" t="e">
        <v>#N/A</v>
      </c>
    </row>
    <row r="140" spans="4:6" x14ac:dyDescent="0.3">
      <c r="D140" t="e">
        <v>#N/A</v>
      </c>
      <c r="E140" t="e">
        <v>#N/A</v>
      </c>
      <c r="F140" t="e">
        <v>#N/A</v>
      </c>
    </row>
    <row r="141" spans="4:6" x14ac:dyDescent="0.3">
      <c r="D141" t="e">
        <v>#N/A</v>
      </c>
      <c r="E141" t="e">
        <v>#N/A</v>
      </c>
      <c r="F141" t="e">
        <v>#N/A</v>
      </c>
    </row>
    <row r="142" spans="4:6" x14ac:dyDescent="0.3">
      <c r="D142" t="e">
        <v>#N/A</v>
      </c>
      <c r="E142" t="e">
        <v>#N/A</v>
      </c>
      <c r="F142" t="e">
        <v>#N/A</v>
      </c>
    </row>
    <row r="143" spans="4:6" x14ac:dyDescent="0.3">
      <c r="D143" t="e">
        <v>#N/A</v>
      </c>
      <c r="E143" t="e">
        <v>#N/A</v>
      </c>
      <c r="F143" t="e">
        <v>#N/A</v>
      </c>
    </row>
    <row r="144" spans="4:6" x14ac:dyDescent="0.3">
      <c r="D144" t="e">
        <v>#N/A</v>
      </c>
      <c r="E144" t="e">
        <v>#N/A</v>
      </c>
      <c r="F144" t="e">
        <v>#N/A</v>
      </c>
    </row>
    <row r="145" spans="4:6" x14ac:dyDescent="0.3">
      <c r="D145" t="e">
        <v>#N/A</v>
      </c>
      <c r="E145" t="e">
        <v>#N/A</v>
      </c>
      <c r="F145" t="e">
        <v>#N/A</v>
      </c>
    </row>
    <row r="146" spans="4:6" x14ac:dyDescent="0.3">
      <c r="D146" t="e">
        <v>#N/A</v>
      </c>
      <c r="E146" t="e">
        <v>#N/A</v>
      </c>
      <c r="F146" t="e">
        <v>#N/A</v>
      </c>
    </row>
    <row r="147" spans="4:6" x14ac:dyDescent="0.3">
      <c r="D147" t="e">
        <v>#N/A</v>
      </c>
      <c r="E147" t="e">
        <v>#N/A</v>
      </c>
      <c r="F147" t="e">
        <v>#N/A</v>
      </c>
    </row>
    <row r="148" spans="4:6" x14ac:dyDescent="0.3">
      <c r="D148" t="e">
        <v>#N/A</v>
      </c>
      <c r="E148" t="e">
        <v>#N/A</v>
      </c>
      <c r="F148" t="e">
        <v>#N/A</v>
      </c>
    </row>
    <row r="149" spans="4:6" x14ac:dyDescent="0.3">
      <c r="D149" t="e">
        <v>#N/A</v>
      </c>
      <c r="E149" t="e">
        <v>#N/A</v>
      </c>
      <c r="F149" t="e">
        <v>#N/A</v>
      </c>
    </row>
    <row r="150" spans="4:6" x14ac:dyDescent="0.3">
      <c r="D150" t="e">
        <v>#N/A</v>
      </c>
      <c r="E150" t="e">
        <v>#N/A</v>
      </c>
      <c r="F150" t="e">
        <v>#N/A</v>
      </c>
    </row>
    <row r="151" spans="4:6" x14ac:dyDescent="0.3">
      <c r="D151" t="e">
        <v>#N/A</v>
      </c>
      <c r="E151" t="e">
        <v>#N/A</v>
      </c>
      <c r="F151" t="e">
        <v>#N/A</v>
      </c>
    </row>
    <row r="152" spans="4:6" x14ac:dyDescent="0.3">
      <c r="D152" t="e">
        <v>#N/A</v>
      </c>
      <c r="E152" t="e">
        <v>#N/A</v>
      </c>
      <c r="F152" t="e">
        <v>#N/A</v>
      </c>
    </row>
    <row r="153" spans="4:6" x14ac:dyDescent="0.3">
      <c r="D153" t="e">
        <v>#N/A</v>
      </c>
      <c r="E153" t="e">
        <v>#N/A</v>
      </c>
      <c r="F153" t="e">
        <v>#N/A</v>
      </c>
    </row>
    <row r="154" spans="4:6" x14ac:dyDescent="0.3">
      <c r="D154" t="e">
        <v>#N/A</v>
      </c>
      <c r="E154" t="e">
        <v>#N/A</v>
      </c>
      <c r="F154" t="e">
        <v>#N/A</v>
      </c>
    </row>
    <row r="155" spans="4:6" x14ac:dyDescent="0.3">
      <c r="D155" t="e">
        <v>#N/A</v>
      </c>
      <c r="E155" t="e">
        <v>#N/A</v>
      </c>
      <c r="F155" t="e">
        <v>#N/A</v>
      </c>
    </row>
    <row r="156" spans="4:6" x14ac:dyDescent="0.3">
      <c r="D156" t="e">
        <v>#N/A</v>
      </c>
      <c r="E156" t="e">
        <v>#N/A</v>
      </c>
      <c r="F156" t="e">
        <v>#N/A</v>
      </c>
    </row>
    <row r="157" spans="4:6" x14ac:dyDescent="0.3">
      <c r="D157" t="e">
        <v>#N/A</v>
      </c>
      <c r="E157" t="e">
        <v>#N/A</v>
      </c>
      <c r="F157" t="e">
        <v>#N/A</v>
      </c>
    </row>
    <row r="158" spans="4:6" x14ac:dyDescent="0.3">
      <c r="D158" t="e">
        <v>#N/A</v>
      </c>
      <c r="E158" t="e">
        <v>#N/A</v>
      </c>
      <c r="F158" t="e">
        <v>#N/A</v>
      </c>
    </row>
    <row r="159" spans="4:6" x14ac:dyDescent="0.3">
      <c r="D159" t="e">
        <v>#N/A</v>
      </c>
      <c r="E159" t="e">
        <v>#N/A</v>
      </c>
      <c r="F159" t="e">
        <v>#N/A</v>
      </c>
    </row>
    <row r="160" spans="4:6" x14ac:dyDescent="0.3">
      <c r="D160" t="e">
        <v>#N/A</v>
      </c>
      <c r="E160" t="e">
        <v>#N/A</v>
      </c>
      <c r="F160" t="e">
        <v>#N/A</v>
      </c>
    </row>
    <row r="169" spans="4:10" x14ac:dyDescent="0.3">
      <c r="D169" t="s">
        <v>13</v>
      </c>
      <c r="H169" t="s">
        <v>18</v>
      </c>
    </row>
    <row r="171" spans="4:10" x14ac:dyDescent="0.3">
      <c r="D171" t="str">
        <f t="array" ref="D171:F440">_xll.MS.GET_DATA_NODE(D6,D7,D8)</f>
        <v>time_index</v>
      </c>
      <c r="E171" t="str">
        <v>unique_identifier</v>
      </c>
      <c r="F171" t="str">
        <v>curve</v>
      </c>
      <c r="H171" t="str">
        <f t="array" ref="H171:J182">_xll.MS.DECOMPRESS_CURVE(F31)</f>
        <v>days_to_maturity</v>
      </c>
      <c r="I171" t="str">
        <v>rate</v>
      </c>
      <c r="J171" t="e">
        <v>#N/A</v>
      </c>
    </row>
    <row r="172" spans="4:10" x14ac:dyDescent="0.3">
      <c r="D172" t="str">
        <v>2025-06-30T04:15:30Z</v>
      </c>
      <c r="E172" t="str">
        <v>polygon_ust_cmt_zero_curve_usd</v>
      </c>
      <c r="F172" t="str">
        <v>H4sIAPrx6WgC/02OQQoDMQwD/5JzKLLkOFa/Vvr3LptCq5sYRug1hPHEA8ntX5hzOA7IwF88h2rdRPYuFi0BxT3H/o6pw6sIERW1OEc0j5QhNFZ1JtJi3XtHWzSbV4vFhq4PAR8WwXJvKyil6/0BtVJFW7kAAAA=</v>
      </c>
      <c r="H172" t="str">
        <v>30</v>
      </c>
      <c r="I172">
        <v>4.2799999999999241E-2</v>
      </c>
      <c r="J172" t="e">
        <v>#N/A</v>
      </c>
    </row>
    <row r="173" spans="4:10" x14ac:dyDescent="0.3">
      <c r="D173" t="str">
        <v>2025-07-01T04:15:30Z</v>
      </c>
      <c r="E173" t="str">
        <v>polygon_ust_cmt_zero_curve_usd</v>
      </c>
      <c r="F173" t="str">
        <v>H4sIAPrx6WgC/02MSQoDQQzE/uJzE1wur/lamL+nhx5IdBXSR6jy1pc6MT/MlwyOcP3DsQ0zjlI0EEXlEMZcUs+O3ayYSvdMNyxB21Nh9ihYZOfc0f6dKoiqrAHblX5XOsdh/609kLSMrL6+58a/YrsAAAA=</v>
      </c>
      <c r="H173" t="str">
        <v>91</v>
      </c>
      <c r="I173">
        <v>4.4100000000000091E-2</v>
      </c>
      <c r="J173" t="e">
        <v>#N/A</v>
      </c>
    </row>
    <row r="174" spans="4:10" x14ac:dyDescent="0.3">
      <c r="D174" t="str">
        <v>2025-07-02T04:15:30Z</v>
      </c>
      <c r="E174" t="str">
        <v>polygon_ust_cmt_zero_curve_usd</v>
      </c>
      <c r="F174" t="str">
        <v>H4sIAPrx6WgC/02OQQ4CMQwD/9LzCtlx0jp8DfF3KrpC+DqakV9DGE88kBJ+Y8xrNA9I4m99Dc06BGERFibgDdbdkq0qZ23gWb1jdNxSxOwVaDuzzW/uaCVz36BQBZe2hT6MTK5grFYt5fL7A3/pU1y5AAAA</v>
      </c>
      <c r="H174" t="str">
        <v>365</v>
      </c>
      <c r="I174">
        <v>3.9976262933006268E-2</v>
      </c>
      <c r="J174" t="e">
        <v>#N/A</v>
      </c>
    </row>
    <row r="175" spans="4:10" x14ac:dyDescent="0.3">
      <c r="D175" t="str">
        <v>2025-07-03T04:15:30Z</v>
      </c>
      <c r="E175" t="str">
        <v>polygon_ust_cmt_zero_curve_usd</v>
      </c>
      <c r="F175" t="str">
        <v>H4sIAPrx6WgC/02NOQ4DMQwD/6LaCMiVqCNfC/L3GPEWq4IFB0N9zGFvvBAe8zguGx4QfPRVyzx1CAk6r05kpPuyusd8ehpqRTWu6FjGvm7LMUROO1PQ/PeOppD7zt1KmVvCHESquvcTInJU3x8zp9FEuAAAAA==</v>
      </c>
      <c r="H175" t="str">
        <v>730</v>
      </c>
      <c r="I175">
        <v>3.8195620320616519E-2</v>
      </c>
      <c r="J175" t="e">
        <v>#N/A</v>
      </c>
    </row>
    <row r="176" spans="4:10" x14ac:dyDescent="0.3">
      <c r="D176" t="str">
        <v>2025-07-07T04:15:30Z</v>
      </c>
      <c r="E176" t="str">
        <v>polygon_ust_cmt_zero_curve_usd</v>
      </c>
      <c r="F176" t="str">
        <v>H4sIAPrx6WgC/0WNSQ4DQQwC/+JzK4K28ZKvRfl7RuksXIuChznsjhvCC79wa9nwgOD8U7XMU4dwwzMxORr1XlbfMZAcqUtEB5ex90dyd2Rkh0cR+Z47luSqypmrIOB6IuYwshtN+LSQmf18Ad1+50S5AAAA</v>
      </c>
      <c r="H176" t="str">
        <v>1825</v>
      </c>
      <c r="I176">
        <v>4.1308056844049326E-2</v>
      </c>
      <c r="J176" t="e">
        <v>#N/A</v>
      </c>
    </row>
    <row r="177" spans="4:10" x14ac:dyDescent="0.3">
      <c r="D177" t="str">
        <v>2025-07-08T04:15:30Z</v>
      </c>
      <c r="E177" t="str">
        <v>polygon_ust_cmt_zero_curve_usd</v>
      </c>
      <c r="F177" t="str">
        <v>H4sIAPrx6WgC/03MSw5CQQhE0b0w7hgKKD5uzbh3O7YvT4ac1H2Jqzz1oeGc+8yXDA4E/qBqiSePgNAKpjWUnUvqiik0zXyapjQuQdtv5LUxyNSxpse3d2b7ydyp7KrwyG3QOQhM7WmOaXsQ8/4ApFMOe7sAAAA=</v>
      </c>
      <c r="H177" t="str">
        <v>3650</v>
      </c>
      <c r="I177">
        <v>5.2928265015280342E-2</v>
      </c>
      <c r="J177" t="e">
        <v>#N/A</v>
      </c>
    </row>
    <row r="178" spans="4:10" x14ac:dyDescent="0.3">
      <c r="D178" t="str">
        <v>2025-07-09T04:15:30Z</v>
      </c>
      <c r="E178" t="str">
        <v>polygon_ust_cmt_zero_curve_usd</v>
      </c>
      <c r="F178" t="str">
        <v>H4sIAPrx6WgC/02MSwrDUAwD7+L1o1iWv71a6d2b5AVSMbth9BGqvPWlzphnxiWDLRx/omoJM7YBFIR1anrySOo+42QbowcNc/claLsj69CDNDLNNK6/nYVzSgs+k6VxOuhsCWR0NfPEKur7A+lg4NS7AAAA</v>
      </c>
      <c r="H178" t="str">
        <v>10950</v>
      </c>
      <c r="I178">
        <v>0.1126987931233496</v>
      </c>
      <c r="J178" t="e">
        <v>#N/A</v>
      </c>
    </row>
    <row r="179" spans="4:10" x14ac:dyDescent="0.3">
      <c r="D179" t="str">
        <v>2025-07-10T04:15:30Z</v>
      </c>
      <c r="E179" t="str">
        <v>polygon_ust_cmt_zero_curve_usd</v>
      </c>
      <c r="F179" t="str">
        <v>H4sIAPrx6WgC/03MWwoDQQhE0b30dxMsLV+ztZC9R9IDGT/rcnwvk3XJS2je/1Pbq3EC8QiZe1n4KYDAoBUSDBuS9zPrKDWvRkFJ7oXSG2kny5JJd1X9vTvKZ7FUEQwZ6sOkTwS8Zg5hE2zLzxerABUfugAAAA==</v>
      </c>
      <c r="H179" t="e">
        <v>#N/A</v>
      </c>
      <c r="I179" t="e">
        <v>#N/A</v>
      </c>
      <c r="J179" t="e">
        <v>#N/A</v>
      </c>
    </row>
    <row r="180" spans="4:10" x14ac:dyDescent="0.3">
      <c r="D180" t="str">
        <v>2025-07-11T04:15:30Z</v>
      </c>
      <c r="E180" t="str">
        <v>polygon_ust_cmt_zero_curve_usd</v>
      </c>
      <c r="F180" t="str">
        <v>H4sIAPrx6WgC/02NQQ4CMQwD/9LzCtlx3CZ8DfF3KipW+Dqa8WsI44kHUgv3GL5G84Ak/tbX0PQhFKZmdLtUnnmN9auBRHBKpfYGrPD9E9XJhhArv7kjeWfQoLcpa20LfRgDtapMu8NGvj90QTJSuQAAAA==</v>
      </c>
      <c r="H180" t="e">
        <v>#N/A</v>
      </c>
      <c r="I180" t="e">
        <v>#N/A</v>
      </c>
      <c r="J180" t="e">
        <v>#N/A</v>
      </c>
    </row>
    <row r="181" spans="4:10" x14ac:dyDescent="0.3">
      <c r="D181" t="str">
        <v>2025-07-14T04:15:30Z</v>
      </c>
      <c r="E181" t="str">
        <v>polygon_ust_cmt_zero_curve_usd</v>
      </c>
      <c r="F181" t="str">
        <v>H4sIAPrx6WgC/0WNSQ4CQQwD/5JzC8VZ23wN8Xcimhms3Cplv8RVnvrQ8NY7sFxCHBDgP91LvPIQmHqVspjMbUv6KlMAzNyd0B1Ygm0/ybNpFbQMbrVv3bHmP4rgzAerOZbyMBgyZgnwUM69P3dQiz+5AAAA</v>
      </c>
      <c r="H181" t="e">
        <v>#N/A</v>
      </c>
      <c r="I181" t="e">
        <v>#N/A</v>
      </c>
      <c r="J181" t="e">
        <v>#N/A</v>
      </c>
    </row>
    <row r="182" spans="4:10" x14ac:dyDescent="0.3">
      <c r="D182" t="str">
        <v>2025-07-15T04:15:30Z</v>
      </c>
      <c r="E182" t="str">
        <v>polygon_ust_cmt_zero_curve_usd</v>
      </c>
      <c r="F182" t="str">
        <v>H4sIAPrx6WgC/03NSw5CMQxD0b1kXKF87YStobd3CgVBpkfXeUio3PWmGTW/81gydiDtD8glgTpisDBXeE1YAEv4XVPsjmmKyugt1v6pMr2NHO8kGe+9UxUmdb+ocO18RTqHzH0A9jipVajrCWDVzWG5AAAA</v>
      </c>
      <c r="H182" t="e">
        <v>#N/A</v>
      </c>
      <c r="I182" t="e">
        <v>#N/A</v>
      </c>
      <c r="J182" t="e">
        <v>#N/A</v>
      </c>
    </row>
    <row r="183" spans="4:10" x14ac:dyDescent="0.3">
      <c r="D183" t="str">
        <v>2025-07-16T04:15:30Z</v>
      </c>
      <c r="E183" t="str">
        <v>polygon_ust_cmt_zero_curve_usd</v>
      </c>
      <c r="F183" t="str">
        <v>H4sIAPrx6WgC/02OQQ4DMQgD/5JzVNkYCPRr1f69abNS64MPjMbiNYTxxAOu6F9MczQPcOIvPYcyDqHBgWVlQpJzrHtMXZ2yWhmei4w5WHZb2oflAoUKKb+Dx4vcX8RuUu7lvj30gbSPWEjzBMN0vQGRdyyWvAAAAA==</v>
      </c>
    </row>
    <row r="184" spans="4:10" x14ac:dyDescent="0.3">
      <c r="D184" t="str">
        <v>2025-07-17T04:15:30Z</v>
      </c>
      <c r="E184" t="str">
        <v>polygon_ust_cmt_zero_curve_usd</v>
      </c>
      <c r="F184" t="str">
        <v>H4sIAPrx6WgC/02NSw7CUAwD75L1E4rjfLka6t0pfUXg7WjGL6HKUx/qjPnNuGSwgUP/NkuYsQlcuyyciGFNLqlvTQ1p9EpvB8uXoO3WOF6AVXSEKq7g1iJ9LOa8ITr5sXQ2gzG0T1aMpimON1cBnAy7AAAA</v>
      </c>
    </row>
    <row r="185" spans="4:10" x14ac:dyDescent="0.3">
      <c r="D185" t="str">
        <v>2025-07-18T04:15:30Z</v>
      </c>
      <c r="E185" t="str">
        <v>polygon_ust_cmt_zero_curve_usd</v>
      </c>
      <c r="F185" t="str">
        <v>H4sIAPrx6WgC/02NMQ4DQQgD/7L1KcILGJyvRfl7UPaKc4dGM3yW23rby8JDj+FawgFhjwXiWs48CHu8dJpcfa26W3OIkwPA7gHofRvu3pSJWfKsf+tIScsqKMpAMMcyHYbtAQvtJoPz6/sDXnzfbrcAAAA=</v>
      </c>
    </row>
    <row r="186" spans="4:10" x14ac:dyDescent="0.3">
      <c r="D186" t="str">
        <v>2025-07-21T04:15:30Z</v>
      </c>
      <c r="E186" t="str">
        <v>polygon_ust_cmt_zero_curve_usd</v>
      </c>
      <c r="F186" t="str">
        <v>H4sIAPrx6WgC/02NMQ4DQQgD/0K9ijBgFvK16P4ekr3iXDIe8xFXeetLw6MfwZLGAQF9pJd48hCdoiPVlJVlS/Y95s2dc98gkzkEZbdk27GzwhLGxH/uWCRmMyI6QO+fpX0YTGNeVDdRPvj6AvP8sKe5AAAA</v>
      </c>
    </row>
    <row r="187" spans="4:10" x14ac:dyDescent="0.3">
      <c r="D187" t="str">
        <v>2025-07-22T04:15:30Z</v>
      </c>
      <c r="E187" t="str">
        <v>polygon_ust_cmt_zero_curve_usd</v>
      </c>
      <c r="F187" t="str">
        <v>H4sIAPrx6WgC/02MSQ4CQQwD/5JzCzlxVr6G+Ds99Ajho8vllxDyxAPOwi9qsWT0AFf8ZZYw4xD05DS8tDi+pO4vDtPGylMNLG6kbbdkzEEQ1yTp8f07XniyIzvLurP78jAHqvZW1Zy6G/V8fwDpWSrguwAAAA==</v>
      </c>
    </row>
    <row r="188" spans="4:10" x14ac:dyDescent="0.3">
      <c r="D188" t="str">
        <v>2025-07-23T04:15:30Z</v>
      </c>
      <c r="E188" t="str">
        <v>polygon_ust_cmt_zero_curve_usd</v>
      </c>
      <c r="F188" t="str">
        <v>H4sIAPrx6WgC/02NSw5CQRAC7zLrFwP0b9qrGe9ux3kxsmBDqngtw3riAbfCL1Rcq3kGJ/7S17KMs1BwoLRlSPJadcusd6dpV4ZnkWPj1k0ZGqoyJZUeX9/BIqyd0aqBpodCn22uqmSq+UoI8f4AiwAl/7oAAAA=</v>
      </c>
    </row>
    <row r="189" spans="4:10" x14ac:dyDescent="0.3">
      <c r="D189" t="str">
        <v>2025-07-24T04:15:30Z</v>
      </c>
      <c r="E189" t="str">
        <v>polygon_ust_cmt_zero_curve_usd</v>
      </c>
      <c r="F189" t="str">
        <v>H4sIAPrx6WgC/0WOSQ4CMRAD/5JzhOx2euNriL8TEWbwtVQlv4YwnnhgKXGP5nM0D1js/zLnUPghXChlyq3bWdvJqwZjIKxrM9LmYNnPkm9D0goK7G/vWO61LArJRKp3j+jDaKjeT9yjPYPx/gDaDLVsugAAAA==</v>
      </c>
    </row>
    <row r="190" spans="4:10" x14ac:dyDescent="0.3">
      <c r="D190" t="str">
        <v>2025-07-25T04:15:30Z</v>
      </c>
      <c r="E190" t="str">
        <v>polygon_ust_cmt_zero_curve_usd</v>
      </c>
      <c r="F190" t="str">
        <v>H4sIAPrx6WgC/0WOSQ4CQQwD/5JzC9nZw9cQf6dFM4MPPqRUVl5ikCcecCvcocaS4QHO+adqiWUcQkOC0YBmF31JXWtQ1tSg07h7CVt/limYuU3UHjT7Dh4twnK89t0znPsJYg4ju9WoGnRPnXh/ANp8Cea7AAAA</v>
      </c>
    </row>
    <row r="191" spans="4:10" x14ac:dyDescent="0.3">
      <c r="D191" t="str">
        <v>2025-07-28T04:15:30Z</v>
      </c>
      <c r="E191" t="str">
        <v>polygon_ust_cmt_zero_curve_usd</v>
      </c>
      <c r="F191" t="str">
        <v>H4sIAPrx6WgC/02Nyw1DQQgDe+G8igzGC6S1KL3ns4n0fB3N+GGE3XFDci6LWDZ+QOKy9FzGrYOc2OUIqKOUe1n9cwhvRuwpasBl3vGzyNC0KE5J/e0dSyrgo3Rwj95XjjnMw1Fd6T2S0M8XV7gTKroAAAA=</v>
      </c>
    </row>
    <row r="192" spans="4:10" x14ac:dyDescent="0.3">
      <c r="D192" t="str">
        <v>2025-07-29T04:15:30Z</v>
      </c>
      <c r="E192" t="str">
        <v>polygon_ust_cmt_zero_curve_usd</v>
      </c>
      <c r="F192" t="str">
        <v>H4sIAPrx6WgC/03Muw3DMBRD0V1UGwHJ989qQXaPArkw24vDzzKsN15wm8ekaw1PcDzm9GtZxkkkBFhZQGN1rbrfbLKVU1l/YdqIrVspYWoqxeqMc3hcuKtg2bkPpxDbYU4kE4gEYdux+/sDwVlgP70AAAA=</v>
      </c>
    </row>
    <row r="193" spans="4:6" x14ac:dyDescent="0.3">
      <c r="D193" t="str">
        <v>2025-07-30T04:15:30Z</v>
      </c>
      <c r="E193" t="str">
        <v>polygon_ust_cmt_zero_curve_usd</v>
      </c>
      <c r="F193" t="str">
        <v>H4sIAPrx6WgC/2WOQRJCMQhD78K64xASSvFqjne336ob2b7khYfR7e43l+C/Q+Swxj9w72GceQgmqHIVvJkaVl+ZJyfDV0SnumsYVnxaJKAsNBUo6C08vSu7Mqorp6C9tc2HYUfX9YyoSfbzBWwgfn26AAAA</v>
      </c>
    </row>
    <row r="194" spans="4:6" x14ac:dyDescent="0.3">
      <c r="D194" t="str">
        <v>2025-07-31T04:15:30Z</v>
      </c>
      <c r="E194" t="str">
        <v>polygon_ust_cmt_zero_curve_usd</v>
      </c>
      <c r="F194" t="str">
        <v>H4sIAPrx6WgC/02Myw1CMRDEesk5QjM7+6U1RO8g8kD4atmPJaw7bnAf/KBpr+EliD9mL2UcQ0eXhYsxqsm96ntDONhhnaEZ7sW2q5IoQ5aVWw3zMzxZeFtltssmGvJ3hzmSLLHTK5SoUjxf+4GF27wAAAA=</v>
      </c>
    </row>
    <row r="195" spans="4:6" x14ac:dyDescent="0.3">
      <c r="D195" t="str">
        <v>2025-08-01T04:15:30Z</v>
      </c>
      <c r="E195" t="str">
        <v>polygon_ust_cmt_zero_curve_usd</v>
      </c>
      <c r="F195" t="str">
        <v>H4sIAPrx6WgC/0XMQRLDMAhD0bt47elICAz0ap3cvWmcSdk+vj5DGG+84N54jqY5mhsUf8APtOISNaIQK8FSlc2R95iyGg5mpySuOVi2IyeK6HS3jk76tbezsAIjTWFRKZ4ZehvpSbPzw0wK7+MLVr0Kf7oAAAA=</v>
      </c>
    </row>
    <row r="196" spans="4:6" x14ac:dyDescent="0.3">
      <c r="D196" t="str">
        <v>2025-08-04T04:15:30Z</v>
      </c>
      <c r="E196" t="str">
        <v>polygon_ust_cmt_zero_curve_usd</v>
      </c>
      <c r="F196" t="str">
        <v>H4sIAPrx6WgC/0WMSQ7DQAzD/uLzoLAtL3K+VvTvHWQCRFeK/ApULv1oRM87tyVjByD1nWMJKm8CZrRmDzLcikv6iaE5Ezqk9SazxOhHCiVm39lOsuzOHSu9Chw03Azh29I5zCy8rRNguavO7w94kiUFuQAAAA==</v>
      </c>
    </row>
    <row r="197" spans="4:6" x14ac:dyDescent="0.3">
      <c r="D197" t="str">
        <v>2025-08-05T04:15:30Z</v>
      </c>
      <c r="E197" t="str">
        <v>polygon_ust_cmt_zero_curve_usd</v>
      </c>
      <c r="F197" t="str">
        <v>H4sIAPrx6WgC/0WNwQ0CQQwDe8l7hZw4cTa0huid0y0Cf8djv4ywJx7IHPziwWXjB5Dzj3oZVTfhlKaq1Nxi72X9HeMOJII5HFRHLfMdx0qHak+2Xy8l3ntHq1A4EC5BTOjSMAde7Zku9CSjhXp/AP4XydW7AAAA</v>
      </c>
    </row>
    <row r="198" spans="4:6" x14ac:dyDescent="0.3">
      <c r="D198" t="str">
        <v>2025-08-06T04:15:30Z</v>
      </c>
      <c r="E198" t="str">
        <v>polygon_ust_cmt_zero_curve_usd</v>
      </c>
      <c r="F198" t="str">
        <v>H4sIAPrx6WgC/0XMSwrDQAwD0LvMOhTZ8jdXK7l73UwgWhjDQ/ouYp34wCz7jcqxWjZQ8YYDDL+FPV9qKSHzjeQzxqxyK4ZBW8OPJaW7ZIJBtsKrQd5zu+UanGMVhSjNfw29UcTKxpmcRYu4fizDtMC6AAAA</v>
      </c>
    </row>
    <row r="199" spans="4:6" x14ac:dyDescent="0.3">
      <c r="D199" t="str">
        <v>2025-08-07T04:15:30Z</v>
      </c>
      <c r="E199" t="str">
        <v>polygon_ust_cmt_zero_curve_usd</v>
      </c>
      <c r="F199" t="str">
        <v>H4sIAPrx6WgC/0WMQQ4CMQzE/tJzhTIzSZrwNbR/p2wR+GrZryEbT3uYe9sPUHM0jhD/woQ5lHEbdSwjTSyoLOdY35mKu/MmIoo1B4qncQi00FJujPftRMGVWNtx4ZPuH6yPBDyjO5PycHRfb/LLjzi5AAAA</v>
      </c>
    </row>
    <row r="200" spans="4:6" x14ac:dyDescent="0.3">
      <c r="D200" t="str">
        <v>2025-08-08T04:15:30Z</v>
      </c>
      <c r="E200" t="str">
        <v>polygon_ust_cmt_zero_curve_usd</v>
      </c>
      <c r="F200" t="str">
        <v>H4sIAPrx6WgC/0WOSQ4CQQwD/9LnEYoTZzFfQ/ydhkYaX0tV8muFrac9jGzdc1xLOCDc7sUGUfkjoWpnF5NIoa/V/1hMhQ8znTKYeC2MH4sQnIN279J82Q4eLyOyGmqfHlltzXQYUBSmLPdRm9H7A+quYBe7AAAA</v>
      </c>
    </row>
    <row r="201" spans="4:6" x14ac:dyDescent="0.3">
      <c r="D201" t="str">
        <v>2025-08-11T04:15:30Z</v>
      </c>
      <c r="E201" t="str">
        <v>polygon_ust_cmt_zero_curve_usd</v>
      </c>
      <c r="F201" t="str">
        <v>H4sIAPrx6WgC/0WNSQoDQQwD/9LnIViWFzlfC/l7munA6CYKlT6Ltt72soiyJ1nXGhxAzpPqa7HyJtwNghk1ZF6r/y6q6IkcsGU1Wwb5GQVaGvcyhdRz684sycYWekYgfD/B5jAgJcUELRUJfH8dti+8uQAAAA==</v>
      </c>
    </row>
    <row r="202" spans="4:6" x14ac:dyDescent="0.3">
      <c r="D202" t="str">
        <v>2025-08-12T04:15:30Z</v>
      </c>
      <c r="E202" t="str">
        <v>polygon_ust_cmt_zero_curve_usd</v>
      </c>
      <c r="F202" t="str">
        <v>H4sIAPrx6WgC/02MQQoDMQwD/5JzKJZlO3K/Vvr3hs3CVifBMPMZtPG2l0Wwn7nP0TiA/gdaMQcrL8Tej70qK0XrOdZdo9yW0KlkhGxLkB8rIKuStRctV+cVPF5yebqchSBhm8H6QEAIgEKqd6C+P6T1ELO9AAAA</v>
      </c>
    </row>
    <row r="203" spans="4:6" x14ac:dyDescent="0.3">
      <c r="D203" t="str">
        <v>2025-08-13T04:15:30Z</v>
      </c>
      <c r="E203" t="str">
        <v>polygon_ust_cmt_zero_curve_usd</v>
      </c>
      <c r="F203" t="str">
        <v>H4sIAPrx6WgC/0WOSQoDQQwD/9LnIdiWFylfC/l7munA6FpUoc+Crbe9LBN6FnEt+QEhewZeC103AVVDK7KRQOa15l/D9DDaJfcabckZx0o3irarEWYVeQePVqGZFgl3ZrK3ZzpwhxgZ3fL9iYXvD9ayMGG8AAAA</v>
      </c>
    </row>
    <row r="204" spans="4:6" x14ac:dyDescent="0.3">
      <c r="D204" t="str">
        <v>2025-08-14T04:15:30Z</v>
      </c>
      <c r="E204" t="str">
        <v>polygon_ust_cmt_zero_curve_usd</v>
      </c>
      <c r="F204" t="str">
        <v>H4sIAPrx6WgC/02NSwpCQRAD7zLrQTqd/sWriXf36QiaVaCo5LFo6243i2j94thLOID2n9qLlR9CRU2RU3M1Re7V3zVOOApNdlg6Yy+MHy1QnXAVWPKZs3i85KUIqrquQm8G04HAIL0BubJC/nwBUyWesr0AAAA=</v>
      </c>
    </row>
    <row r="205" spans="4:6" x14ac:dyDescent="0.3">
      <c r="D205" t="str">
        <v>2025-08-15T04:15:30Z</v>
      </c>
      <c r="E205" t="str">
        <v>polygon_ust_cmt_zero_curve_usd</v>
      </c>
      <c r="F205" t="str">
        <v>H4sIAPrx6WgC/02MSQ4CMAzE/tJzhZJJJgtfQ/ydqEUCXy37tUzWUx7inv0DulfrFSb/xF4WPMY60tTR8EQw98rvzIrgYGxp+sy0cCPHdG1ZkKQoeX43o1tKVFl1qLMnm/w4hUgpDGBpFuP9AW2aPru6AAAA</v>
      </c>
    </row>
    <row r="206" spans="4:6" x14ac:dyDescent="0.3">
      <c r="D206" t="str">
        <v>2025-08-18T04:15:30Z</v>
      </c>
      <c r="E206" t="str">
        <v>polygon_ust_cmt_zero_curve_usd</v>
      </c>
      <c r="F206" t="str">
        <v>H4sIAPrx6WgC/02MQQpCQQxD7zLrj7Rp2mm8mnh3yx9Bswq8vLxW2Hraw8jSL911LfkhAf0jXisqbxSqDZ/BFLT2SPv7F71pgfJKTbOxvHE0wjOLuYXoKN2HR0smfKeczQKVo5kOdDhs5giwcr7fH1pKPAW+AAAA</v>
      </c>
    </row>
    <row r="207" spans="4:6" x14ac:dyDescent="0.3">
      <c r="D207" t="str">
        <v>2025-08-19T04:15:30Z</v>
      </c>
      <c r="E207" t="str">
        <v>polygon_ust_cmt_zero_curve_usd</v>
      </c>
      <c r="F207" t="str">
        <v>H4sIAPrx6WgC/02NQQpCQQxD7zLrjyRN22m9mnh3yx9Bs3rwSPJawnriAffEL5HXah4h/GeEMm6j9qyUKmuoPa61v2uqsDbDiAGva7HstJy5qVAZIwfiHjy1UMPQe7vSG6OIPo5sK4HzRd8Ivj9iu0rFuwAAAA==</v>
      </c>
    </row>
    <row r="208" spans="4:6" x14ac:dyDescent="0.3">
      <c r="D208" t="str">
        <v>2025-08-20T04:15:30Z</v>
      </c>
      <c r="E208" t="str">
        <v>polygon_ust_cmt_zero_curve_usd</v>
      </c>
      <c r="F208" t="str">
        <v>H4sIAPrx6WgC/02MSwpCQRAD7zLrQbo76U+8mry7+3BELLIrKq8FW097GJn2w4N7yY+A/VN7ofJjIFRhRJ97rr36e4ZhgKS6J8Yj9/KJU9Ezo4TIRoTO38kSTQVFSVk+fWemI91nbGQREKPR1xv/gwlnuwAAAA==</v>
      </c>
    </row>
    <row r="209" spans="4:6" x14ac:dyDescent="0.3">
      <c r="D209" t="str">
        <v>2025-08-21T04:15:30Z</v>
      </c>
      <c r="E209" t="str">
        <v>polygon_ust_cmt_zero_curve_usd</v>
      </c>
      <c r="F209" t="str">
        <v>H4sIAPrx6WgC/0XOyw0DQQgD0F44jyLA5pfWovSe0c5qw/XJxh+ByltfSo4+Z44lYwfgf1DYEmRcgukq1e60HqCX1F2GnnCLTG2N4hJrPxm6MVFOVAQ8r7YTCoLYr7erM/YC0zlmewLRzIzC0Of7A8BOT924AAAA</v>
      </c>
    </row>
    <row r="210" spans="4:6" x14ac:dyDescent="0.3">
      <c r="D210" t="str">
        <v>2025-08-22T04:15:30Z</v>
      </c>
      <c r="E210" t="str">
        <v>polygon_ust_cmt_zero_curve_usd</v>
      </c>
      <c r="F210" t="str">
        <v>H4sIAPrx6WgC/0WNSQoDQQwD/9LnIcirrHwt5O9ppgOjk0xR8mcF1hsvZLaezPS1ZIc48cQirxVdNwqh0YMIirXrtfjfC3LSXT1VbdqSjR8rofYs7YcxJvY9eLSKcDloVJbZbA06bF+0gilUbOj7A+SLtrS8AAAA</v>
      </c>
    </row>
    <row r="211" spans="4:6" x14ac:dyDescent="0.3">
      <c r="D211" t="str">
        <v>2025-08-25T04:15:30Z</v>
      </c>
      <c r="E211" t="str">
        <v>polygon_ust_cmt_zero_curve_usd</v>
      </c>
      <c r="F211" t="str">
        <v>H4sIAPrx6WgC/0XNyw0CQQwD0F7mPEJx/qY1RO8EZrXk+mzntUzWUx7iHnIf1PciDij/INZ7WcZPjEhVZ2jAhvaqa8zawCxE04U5gtZTcrg5GSgYLb+PZu/UwoKlGjJhjdHpCQ8CzXJ0ehd6Uu8PXtzsRrsAAAA=</v>
      </c>
    </row>
    <row r="212" spans="4:6" x14ac:dyDescent="0.3">
      <c r="D212" t="str">
        <v>2025-08-26T04:15:30Z</v>
      </c>
      <c r="E212" t="str">
        <v>polygon_ust_cmt_zero_curve_usd</v>
      </c>
      <c r="F212" t="str">
        <v>H4sIAPrx6WgC/0WOSQoDQQwD/9LnJsiWvOVrIX/PMB0YXYsq9FnEeuMFyfEsaq+xA7zmWdtezLgJuyPGwbJQTexV/xgLTEzGJIJ7WftRhM6CVRVUKtddO1KQKZUJdKr90jCH2fVNrQQ1LRt+f60jbz24AAAA</v>
      </c>
    </row>
    <row r="213" spans="4:6" x14ac:dyDescent="0.3">
      <c r="D213" t="str">
        <v>2025-08-27T04:15:30Z</v>
      </c>
      <c r="E213" t="str">
        <v>polygon_ust_cmt_zero_curve_usd</v>
      </c>
      <c r="F213" t="str">
        <v>H4sIAPrx6WgC/0WNSQ4DQQgD/9LnVsRmA/laNH8PmY40PlJ28Vku6y0viTB5gtyr9QBDPwH3cuImXoQpp4B0R++Vf5mzDKGcaQRZM9K5HJ9ozAerknZk3b4zg6smAQqj9CdU6cPUdFgKK+jlEdcXpFh1jboAAAA=</v>
      </c>
    </row>
    <row r="214" spans="4:6" x14ac:dyDescent="0.3">
      <c r="D214" t="str">
        <v>2025-08-28T04:15:30Z</v>
      </c>
      <c r="E214" t="str">
        <v>polygon_ust_cmt_zero_curve_usd</v>
      </c>
      <c r="F214" t="str">
        <v>H4sIAPrx6WgC/0WNXQoDQQiD7+LzUIwaf3q1snfvdKeweTDgR5KPuMpbXxph+oi1ZHCAcR4xl3jyJt7NZFkXoMzcqP5tXgjP6f2v7bYEbScVCivaJJypirvvpGiVNch9dIK/LegcCEwEOqwaVOD6AmQkJgm6AAAA</v>
      </c>
    </row>
    <row r="215" spans="4:6" x14ac:dyDescent="0.3">
      <c r="D215" t="str">
        <v>2025-08-29T04:15:30Z</v>
      </c>
      <c r="E215" t="str">
        <v>polygon_ust_cmt_zero_curve_usd</v>
      </c>
      <c r="F215" t="str">
        <v>H4sIAPrx6WgC/0WNxw3DQBADe7n3weAGbnBrhnv3QifIfDIMP8uw3njBXfBIlHu1nEC1/wrby4JXYhU0sSwDlfC98oZZlLIqvMokpIcm4xze4LOQnBNQ2i/g2VF72l0p0AHkzNAnE50q0GOIF1nfH3HoKGW7AAAA</v>
      </c>
    </row>
    <row r="216" spans="4:6" x14ac:dyDescent="0.3">
      <c r="D216" t="str">
        <v>2025-09-02T04:15:30Z</v>
      </c>
      <c r="E216" t="str">
        <v>polygon_ust_cmt_zero_curve_usd</v>
      </c>
      <c r="F216" t="str">
        <v>H4sIAPrx6WgC/03OQQoDQQhE0bv0egilVrWaq4W5eySdxbiThx8/K7DeeIHRj3G/VtsBe0KC14qtH0VJ1uawCrFG8l+LVDbDJNKpfS0rP0dEeuVsuyWUnd45UyR6isAeGDH0IXNG0qc1D1Ge9xf8d4lvugAAAA==</v>
      </c>
    </row>
    <row r="217" spans="4:6" x14ac:dyDescent="0.3">
      <c r="D217" t="str">
        <v>2025-09-03T04:15:30Z</v>
      </c>
      <c r="E217" t="str">
        <v>polygon_ust_cmt_zero_curve_usd</v>
      </c>
      <c r="F217" t="str">
        <v>H4sIAPrx6WgC/02OSQoDQQwD/+JzEyzLa74W8vc00wMTHVVo+QhV3vpSp8+fsGRwAFof0X0JMy7E3jSDXZ6VnFhSdx1LA+UdNaMD5BK0nZgr2KiG2vaacTWeXFhVKiwxY4x9AzqHwbT2Rw8jck/O9wdQZS++vQAAAA==</v>
      </c>
    </row>
    <row r="218" spans="4:6" x14ac:dyDescent="0.3">
      <c r="D218" t="str">
        <v>2025-09-04T04:15:30Z</v>
      </c>
      <c r="E218" t="str">
        <v>polygon_ust_cmt_zero_curve_usd</v>
      </c>
      <c r="F218" t="str">
        <v>H4sIAPrx6WgC/02NQQ7DQAgD/7LnqMJmYXG/VuXvJZuoqi8cxmM+w2287WXT3X4B8xjCDZD2F8UxPGMjX5rdVYUv07yk9cx5lovMyRlc4cdA8bGUseBWTCKo3IO3FpBY/bKPUNUM/XJDoBTFy+5KuM4vhDCeHb0AAAA=</v>
      </c>
    </row>
    <row r="219" spans="4:6" x14ac:dyDescent="0.3">
      <c r="D219" t="str">
        <v>2025-09-05T04:15:30Z</v>
      </c>
      <c r="E219" t="str">
        <v>polygon_ust_cmt_zero_curve_usd</v>
      </c>
      <c r="F219" t="str">
        <v>H4sIAPrx6WgC/0WOSw5CQQgE78J6YhoYPu3VzLu76LwoYUFSqaZf4pAnHthG/EatllAPQP0BXJd4xpd4tjLSkYXuHKXuME/AUBkRDm7sJdp2W800hjrmp9mHTeDxAjSq0Xt7zeZ44IGqMb0CRau54noDrtkTsbsAAAA=</v>
      </c>
    </row>
    <row r="220" spans="4:6" x14ac:dyDescent="0.3">
      <c r="D220" t="str">
        <v>2025-09-08T04:15:30Z</v>
      </c>
      <c r="E220" t="str">
        <v>polygon_ust_cmt_zero_curve_usd</v>
      </c>
      <c r="F220" t="str">
        <v>H4sIAPrx6WgC/02NSQ7DMAwD/6KzUZCSteVrRf5eww7Q8MLDYMivGOTCB1MD/3jHkOYhfAHo9CEWvpFFMnxWOR3ZPSSfOfOspinhTK8cwtJHqtRE1LSiRljsvaM5qL1eGoU+2urNSKhOy2an9ZLvH/9ymte8AAAA</v>
      </c>
    </row>
    <row r="221" spans="4:6" x14ac:dyDescent="0.3">
      <c r="D221" t="str">
        <v>2025-09-09T04:15:30Z</v>
      </c>
      <c r="E221" t="str">
        <v>polygon_ust_cmt_zero_curve_usd</v>
      </c>
      <c r="F221" t="str">
        <v>H4sIAPrx6WgC/02NSQ4CMRAD/5JzhNru9GK+hvg7YTJC+Giryq/hNp72sMWwX8CaQzgD7C9cMYdnXJMXuOTdpswqzlG3zdNRgqyZrK8NzRvatYdTCkjEpTtUWESTyH1DKDdlOhuAWDKxCrvq9wc8rypSuQAAAA==</v>
      </c>
    </row>
    <row r="222" spans="4:6" x14ac:dyDescent="0.3">
      <c r="D222" t="str">
        <v>2025-09-10T04:15:30Z</v>
      </c>
      <c r="E222" t="str">
        <v>polygon_ust_cmt_zero_curve_usd</v>
      </c>
      <c r="F222" t="str">
        <v>H4sIAPrx6WgC/02OQQ7EMAgD/5JztAKDCd6vrfr3jdoc6qMHRv6NsPG1jyWgV2IO+QOsX32tOaJ4kyjBN/fd92LOsY4sKuAEupKpZZzDG+erRae3p+0L9e07GyQgKCyojL2Nbnqgu0G5dWSmCrz+XuJok7sAAAA=</v>
      </c>
    </row>
    <row r="223" spans="4:6" x14ac:dyDescent="0.3">
      <c r="D223" t="str">
        <v>2025-09-11T04:15:30Z</v>
      </c>
      <c r="E223" t="str">
        <v>polygon_ust_cmt_zero_curve_usd</v>
      </c>
      <c r="F223" t="str">
        <v>H4sIAPrx6WgC/02OSQoDMRAD/+KzCVIvcne+FubvMTOGREcVJfQZjvHGC2GGX4Sco/kQrP6P5nDljVxioiyqgbTYaJ09F7n7WIyUy+dg2bGqhfZGBc2Z99550eG+trMLUhsR/TCinPQlU1hX8voC7qgmY7wAAAA=</v>
      </c>
    </row>
    <row r="224" spans="4:6" x14ac:dyDescent="0.3">
      <c r="D224" t="str">
        <v>2025-09-12T04:15:30Z</v>
      </c>
      <c r="E224" t="str">
        <v>polygon_ust_cmt_zero_curve_usd</v>
      </c>
      <c r="F224" t="str">
        <v>H4sIAPrx6WgC/02MSQoDQQwD/+JzEyTvztfC/D3N9ECik6BU+ohB3njB1eYXjSXDA1Dzn1xiGTeyHKUFgC7triX1vO2FJTf0VuXYErY+0rgptQZeStp9d6wAxxvcSjnDt4U5bBcrzwgjigpeX1cly2S6AAAA</v>
      </c>
    </row>
    <row r="225" spans="4:6" x14ac:dyDescent="0.3">
      <c r="D225" t="str">
        <v>2025-09-15T04:15:30Z</v>
      </c>
      <c r="E225" t="str">
        <v>polygon_ust_cmt_zero_curve_usd</v>
      </c>
      <c r="F225" t="str">
        <v>H4sIAPrx6WgC/0WNWwrDQAwD77LfS5Ffsp2rld69JhuIfgfNfJdhXfjAVfGOiL1aDkH0uxxgjJsYUzJL0IXKSu6Vj85oGm4pCHhV+l5S+txams1JQhI8wnOLSauDNkIWbNjYDxSUkdXW4+5y/f0Bh5nMr70AAAA=</v>
      </c>
    </row>
    <row r="226" spans="4:6" x14ac:dyDescent="0.3">
      <c r="D226" t="str">
        <v>2025-09-16T04:15:30Z</v>
      </c>
      <c r="E226" t="str">
        <v>polygon_ust_cmt_zero_curve_usd</v>
      </c>
      <c r="F226" t="str">
        <v>H4sIAPrx6WgC/02OSw5CQQgE78J6YppfM3g1493l+SZRWLDorgovccgTD4T23xiXtN7B7G+8lzjzm8zVMDfUNhI9TB2bEygyoFWmxlii2w62m5nguFJ5USM6T3S7jclzjFE6FPrOFHXVMzRr+qz3B1j/61K7AAAA</v>
      </c>
    </row>
    <row r="227" spans="4:6" x14ac:dyDescent="0.3">
      <c r="D227" t="str">
        <v>2025-09-17T04:15:30Z</v>
      </c>
      <c r="E227" t="str">
        <v>polygon_ust_cmt_zero_curve_usd</v>
      </c>
      <c r="F227" t="str">
        <v>H4sIAPrx6WgC/02OSQ4CQQwD/5JzCzlbJ+ZriL8TpkcIX8tl+SUOeeKB0MIvalxCPQCGPxJLfOdFfLuiYAxW7yV1T/lW7UyrTJ2u5xJtux369CNAjAi91o6WMLPvjUI3sscCD1O0eW2CzJGb7w9hhrz9uAAAAA==</v>
      </c>
    </row>
    <row r="228" spans="4:6" x14ac:dyDescent="0.3">
      <c r="D228" t="str">
        <v>2025-09-18T04:15:30Z</v>
      </c>
      <c r="E228" t="str">
        <v>polygon_ust_cmt_zero_curve_usd</v>
      </c>
      <c r="F228" t="str">
        <v>H4sIAPrx6WgC/02MOQ7DQAzE/rL1IhgdI43ytcB/j2G7MFuC/K3A+uKDtHnhtdfYLeAvIeNeUbxUVJpnEd5savbq5xZVdLWnSgF47mXypzr31gUTh4G8fndGTLuqIjli91lhbmdmYGoc3e0jHX9fSaLUuwAAAA==</v>
      </c>
    </row>
    <row r="229" spans="4:6" x14ac:dyDescent="0.3">
      <c r="D229" t="str">
        <v>2025-09-19T04:15:30Z</v>
      </c>
      <c r="E229" t="str">
        <v>polygon_ust_cmt_zero_curve_usd</v>
      </c>
      <c r="F229" t="str">
        <v>H4sIAPrx6WgC/02MyQ3DQAzEetn3ItCM7rQWuPcIXj+slzAE+Vsq6ysfMVS/zvZqHCB87QXfS8NvpKEQ7VLOZ4W98qlphFvAvKBMTg1Ff3pi1tXB8GbctSM5RklkzuxWOpL0YQDNu9OTMmHl9Qd8O7umuQAAAA==</v>
      </c>
    </row>
    <row r="230" spans="4:6" x14ac:dyDescent="0.3">
      <c r="D230" t="str">
        <v>2025-09-22T04:15:30Z</v>
      </c>
      <c r="E230" t="str">
        <v>polygon_ust_cmt_zero_curve_usd</v>
      </c>
      <c r="F230" t="str">
        <v>H4sIAPrx6WgC/02MSQoDMRDE/uKzCVVdvTlfC/P3mHgYoquQPkMYb7zgLDzQ1hyLP6H1T2+hjGPSKTWjrFCec9Q9U6GtOhSLTGoOtp3I97AiLTxg1NmdKvYpQwSLYiN2hnUkKa9EtKVtJ15f7IhVHboAAAA=</v>
      </c>
    </row>
    <row r="231" spans="4:6" x14ac:dyDescent="0.3">
      <c r="D231" t="str">
        <v>2025-09-23T04:15:30Z</v>
      </c>
      <c r="E231" t="str">
        <v>polygon_ust_cmt_zero_curve_usd</v>
      </c>
      <c r="F231" t="str">
        <v>H4sIAPrx6WgC/02NSQ4CQQwD/5JzC8VxVr6G+Ds900jgY8rlvIQqT32oI+YXyyWDG3D+07OEGYekg2xEWWn5Vuo7xjRzUtOmuxNL0HYkV43rVEHuTt5zxwqA2cMxgzcuS+cwAGH7F417oL3eH+E0Q065AAAA</v>
      </c>
    </row>
    <row r="232" spans="4:6" x14ac:dyDescent="0.3">
      <c r="D232" t="str">
        <v>2025-09-24T04:15:30Z</v>
      </c>
      <c r="E232" t="str">
        <v>polygon_ust_cmt_zero_curve_usd</v>
      </c>
      <c r="F232" t="str">
        <v>H4sIAPrx6WgC/03MQQ4CMQxD0bt0PUJx0tgJV0PcnTJlNHj75P8aYeNpD5sou0fMYzS2mP/JF4J5SpBge5Z3sLPzGPrlFs3OmWg6ONcJ5Xn1SnIaGAGeuX1KiOo0q1KIWCfrbYCLJbjTk4p+fwC7Ri2RugAAAA==</v>
      </c>
    </row>
    <row r="233" spans="4:6" x14ac:dyDescent="0.3">
      <c r="D233" t="str">
        <v>2025-09-25T04:15:30Z</v>
      </c>
      <c r="E233" t="str">
        <v>polygon_ust_cmt_zero_curve_usd</v>
      </c>
      <c r="F233" t="str">
        <v>H4sIAPrx6WgC/0WMyQ3DQAwDe9F7EVCizrQWuPcsvAZM/TTk/ISQLz5w47yxWDJ6wL43nCXMuAlLLRtNMPbPl9QjY3EMMeQ0m7lE2+LRdWkh3XfDuv32nVkY1DQGBnZl7RnmMFWt7sw9oaebXn+9QXkbugAAAA==</v>
      </c>
    </row>
    <row r="234" spans="4:6" x14ac:dyDescent="0.3">
      <c r="D234" t="str">
        <v>2025-09-26T04:15:30Z</v>
      </c>
      <c r="E234" t="str">
        <v>polygon_ust_cmt_zero_curve_usd</v>
      </c>
      <c r="F234" t="str">
        <v>H4sIAPrx6WgC/03MQQ7DMAhE0bt4bVXAwAC9WpW7F8WRWjYsPrzPgqy3vMTN5DeU2Kv1FPkv6nuBcRekWEDZ7QIhuVc+HNKKKVlRZrOH07J4wO4GKwhwzuIWz18YUMSA2q7R8yZ9mqrlWJ6tQ1Xx+gL03M5KvQAAAA==</v>
      </c>
    </row>
    <row r="235" spans="4:6" x14ac:dyDescent="0.3">
      <c r="D235" t="str">
        <v>2025-09-29T04:15:30Z</v>
      </c>
      <c r="E235" t="str">
        <v>polygon_ust_cmt_zero_curve_usd</v>
      </c>
      <c r="F235" t="str">
        <v>H4sIAPrx6WgC/0WMSwrDQAxD7zLrodjyV71ayd1rMoHIG6OH3m+ZrK98xAF5kxJ7UQ+Ze2PcyzJuYtkQb7IaqY296rFZYWpLl4JKzWZwPLoKZxqlDUbcurMKDWQp0jwB+qyEh83TqoVidLNUrz+XKBlWugAAAA==</v>
      </c>
    </row>
    <row r="236" spans="4:6" x14ac:dyDescent="0.3">
      <c r="D236" t="str">
        <v>2025-09-30T04:15:30Z</v>
      </c>
      <c r="E236" t="str">
        <v>polygon_ust_cmt_zero_curve_usd</v>
      </c>
      <c r="F236" t="str">
        <v>H4sIAPrx6WgC/02NQQoDMQwD/5JzKJIdW3a/VvbvDZuFVkcNGn2GY7zxwmL/xXKO5gEw/MI1h2fcxEXTcoaYucs59Mg8O00Zjm6CW8ayeHRKF5al15Li1p1VUECBBWxqvVfow0iUGtmVzv3I6wu3LQKyuQAAAA==</v>
      </c>
    </row>
    <row r="237" spans="4:6" x14ac:dyDescent="0.3">
      <c r="D237" t="str">
        <v>2025-10-01T04:15:30Z</v>
      </c>
      <c r="E237" t="str">
        <v>polygon_ust_cmt_zero_curve_usd</v>
      </c>
      <c r="F237" t="str">
        <v>H4sIAPrx6WgC/0WMyQ3DMAwEe+FbCLi8VkxrgXuPbMXO8sFjwPmIq7z1pQHqE1gPaWyg2v8kh3jlRVbHWYYI0mIIfzKv8Jqd0RURakMwLW9dKhOuk4yyunz7LbHOvTYWvP00QntDrAnVZsnsGczjC2ZAeZa7AAAA</v>
      </c>
    </row>
    <row r="238" spans="4:6" x14ac:dyDescent="0.3">
      <c r="D238" t="str">
        <v>2025-10-02T04:15:30Z</v>
      </c>
      <c r="E238" t="str">
        <v>polygon_ust_cmt_zero_curve_usd</v>
      </c>
      <c r="F238" t="str">
        <v>H4sIAPrx6WgC/02NSw7DQAhD7zLrqLKBAdyrVb17aRKp9Qak589rOdYTD4SZ/uTHEi8Aw0+MY3nuk8xldESbj+dL6i7zDM8K0NFpA9h2ZyQbv28k201n2xXaaKKspQKZNSnoYvMEtpqzVNOl9wdPoG5NuAAAAA==</v>
      </c>
    </row>
    <row r="239" spans="4:6" x14ac:dyDescent="0.3">
      <c r="D239" t="str">
        <v>2025-10-03T04:15:30Z</v>
      </c>
      <c r="E239" t="str">
        <v>polygon_ust_cmt_zero_curve_usd</v>
      </c>
      <c r="F239" t="str">
        <v>H4sIAPrx6WgC/03NyQ3DQAxD0V7mbASkdqW1wL1H9hhIdH3g12cp1hsvmGj/TvxYzQ2QPyiOaPhNGslKuDGVncfKJzbg1o6rKh0zYYk/OZfyMiES1rxre+UU1YA2qMm8VuhtJEgNcQ7YvDy/Yl4gpbkAAAA=</v>
      </c>
    </row>
    <row r="240" spans="4:6" x14ac:dyDescent="0.3">
      <c r="D240" t="str">
        <v>2025-10-06T04:15:30Z</v>
      </c>
      <c r="E240" t="str">
        <v>polygon_ust_cmt_zero_curve_usd</v>
      </c>
      <c r="F240" t="str">
        <v>H4sIAPrx6WgC/03MWwoDQQhE0b343YSyfLRma2H2HpkeSPTzUucjBnnjBSfxu0QsaT0F/0V9iWXcxbJpRKvNh/aS/WhTMrl71ERWjabFeLyqYlfAzbbz9s4sCDrDK1W7c0bok1TpiNZyxwajri+WGpO4ugAAAA==</v>
      </c>
    </row>
    <row r="241" spans="4:6" x14ac:dyDescent="0.3">
      <c r="D241" t="str">
        <v>2025-10-07T04:15:30Z</v>
      </c>
      <c r="E241" t="str">
        <v>polygon_ust_cmt_zero_curve_usd</v>
      </c>
      <c r="F241" t="str">
        <v>H4sIAPrx6WgC/02OOQ7EMBDD/uLaWEhzT762yN9j2CnClhCh/1CMCz8Y+4PEHM0jgI/wnEPDt9EooTEBq3b4HPnGNMJCWIHoKupSLPG3Z6hSa8kSy7YdPDvfuTBZBxyUNUMfx0WXqJKaVLsfI7AsUboAAAA=</v>
      </c>
    </row>
    <row r="242" spans="4:6" x14ac:dyDescent="0.3">
      <c r="D242" t="str">
        <v>2025-10-08T04:15:30Z</v>
      </c>
      <c r="E242" t="str">
        <v>polygon_ust_cmt_zero_curve_usd</v>
      </c>
      <c r="F242" t="str">
        <v>H4sIAPrx6WgC/03NSQ7DMAxD0bt4bRSkZGro1YrcvUacRbT90ONvOMYXHyz26yzmaJ4AvIJyDg/dxaPNxYaDxCrNkY/mkWImrMMXag6W6eFkiQ6ZkVVxc+dJNDdZy1mk1vaIPnEPJKTy1Ruk6voDV1APDboAAAA=</v>
      </c>
    </row>
    <row r="243" spans="4:6" x14ac:dyDescent="0.3">
      <c r="D243" t="e">
        <v>#N/A</v>
      </c>
      <c r="E243" t="e">
        <v>#N/A</v>
      </c>
      <c r="F243" t="e">
        <v>#N/A</v>
      </c>
    </row>
    <row r="244" spans="4:6" x14ac:dyDescent="0.3">
      <c r="D244" t="e">
        <v>#N/A</v>
      </c>
      <c r="E244" t="e">
        <v>#N/A</v>
      </c>
      <c r="F244" t="e">
        <v>#N/A</v>
      </c>
    </row>
    <row r="245" spans="4:6" x14ac:dyDescent="0.3">
      <c r="D245" t="e">
        <v>#N/A</v>
      </c>
      <c r="E245" t="e">
        <v>#N/A</v>
      </c>
      <c r="F245" t="e">
        <v>#N/A</v>
      </c>
    </row>
    <row r="246" spans="4:6" x14ac:dyDescent="0.3">
      <c r="D246" t="e">
        <v>#N/A</v>
      </c>
      <c r="E246" t="e">
        <v>#N/A</v>
      </c>
      <c r="F246" t="e">
        <v>#N/A</v>
      </c>
    </row>
    <row r="247" spans="4:6" x14ac:dyDescent="0.3">
      <c r="D247" t="e">
        <v>#N/A</v>
      </c>
      <c r="E247" t="e">
        <v>#N/A</v>
      </c>
      <c r="F247" t="e">
        <v>#N/A</v>
      </c>
    </row>
    <row r="248" spans="4:6" x14ac:dyDescent="0.3">
      <c r="D248" t="e">
        <v>#N/A</v>
      </c>
      <c r="E248" t="e">
        <v>#N/A</v>
      </c>
      <c r="F248" t="e">
        <v>#N/A</v>
      </c>
    </row>
    <row r="249" spans="4:6" x14ac:dyDescent="0.3">
      <c r="D249" t="e">
        <v>#N/A</v>
      </c>
      <c r="E249" t="e">
        <v>#N/A</v>
      </c>
      <c r="F249" t="e">
        <v>#N/A</v>
      </c>
    </row>
    <row r="250" spans="4:6" x14ac:dyDescent="0.3">
      <c r="D250" t="e">
        <v>#N/A</v>
      </c>
      <c r="E250" t="e">
        <v>#N/A</v>
      </c>
      <c r="F250" t="e">
        <v>#N/A</v>
      </c>
    </row>
    <row r="251" spans="4:6" x14ac:dyDescent="0.3">
      <c r="D251" t="e">
        <v>#N/A</v>
      </c>
      <c r="E251" t="e">
        <v>#N/A</v>
      </c>
      <c r="F251" t="e">
        <v>#N/A</v>
      </c>
    </row>
    <row r="252" spans="4:6" x14ac:dyDescent="0.3">
      <c r="D252" t="e">
        <v>#N/A</v>
      </c>
      <c r="E252" t="e">
        <v>#N/A</v>
      </c>
      <c r="F252" t="e">
        <v>#N/A</v>
      </c>
    </row>
    <row r="253" spans="4:6" x14ac:dyDescent="0.3">
      <c r="D253" t="e">
        <v>#N/A</v>
      </c>
      <c r="E253" t="e">
        <v>#N/A</v>
      </c>
      <c r="F253" t="e">
        <v>#N/A</v>
      </c>
    </row>
    <row r="254" spans="4:6" x14ac:dyDescent="0.3">
      <c r="D254" t="e">
        <v>#N/A</v>
      </c>
      <c r="E254" t="e">
        <v>#N/A</v>
      </c>
      <c r="F254" t="e">
        <v>#N/A</v>
      </c>
    </row>
    <row r="255" spans="4:6" x14ac:dyDescent="0.3">
      <c r="D255" t="e">
        <v>#N/A</v>
      </c>
      <c r="E255" t="e">
        <v>#N/A</v>
      </c>
      <c r="F255" t="e">
        <v>#N/A</v>
      </c>
    </row>
    <row r="256" spans="4:6" x14ac:dyDescent="0.3">
      <c r="D256" t="e">
        <v>#N/A</v>
      </c>
      <c r="E256" t="e">
        <v>#N/A</v>
      </c>
      <c r="F256" t="e">
        <v>#N/A</v>
      </c>
    </row>
    <row r="257" spans="4:6" x14ac:dyDescent="0.3">
      <c r="D257" t="e">
        <v>#N/A</v>
      </c>
      <c r="E257" t="e">
        <v>#N/A</v>
      </c>
      <c r="F257" t="e">
        <v>#N/A</v>
      </c>
    </row>
    <row r="258" spans="4:6" x14ac:dyDescent="0.3">
      <c r="D258" t="e">
        <v>#N/A</v>
      </c>
      <c r="E258" t="e">
        <v>#N/A</v>
      </c>
      <c r="F258" t="e">
        <v>#N/A</v>
      </c>
    </row>
    <row r="259" spans="4:6" x14ac:dyDescent="0.3">
      <c r="D259" t="e">
        <v>#N/A</v>
      </c>
      <c r="E259" t="e">
        <v>#N/A</v>
      </c>
      <c r="F259" t="e">
        <v>#N/A</v>
      </c>
    </row>
    <row r="260" spans="4:6" x14ac:dyDescent="0.3">
      <c r="D260" t="e">
        <v>#N/A</v>
      </c>
      <c r="E260" t="e">
        <v>#N/A</v>
      </c>
      <c r="F260" t="e">
        <v>#N/A</v>
      </c>
    </row>
    <row r="261" spans="4:6" x14ac:dyDescent="0.3">
      <c r="D261" t="e">
        <v>#N/A</v>
      </c>
      <c r="E261" t="e">
        <v>#N/A</v>
      </c>
      <c r="F261" t="e">
        <v>#N/A</v>
      </c>
    </row>
    <row r="262" spans="4:6" x14ac:dyDescent="0.3">
      <c r="D262" t="e">
        <v>#N/A</v>
      </c>
      <c r="E262" t="e">
        <v>#N/A</v>
      </c>
      <c r="F262" t="e">
        <v>#N/A</v>
      </c>
    </row>
    <row r="263" spans="4:6" x14ac:dyDescent="0.3">
      <c r="D263" t="e">
        <v>#N/A</v>
      </c>
      <c r="E263" t="e">
        <v>#N/A</v>
      </c>
      <c r="F263" t="e">
        <v>#N/A</v>
      </c>
    </row>
    <row r="264" spans="4:6" x14ac:dyDescent="0.3">
      <c r="D264" t="e">
        <v>#N/A</v>
      </c>
      <c r="E264" t="e">
        <v>#N/A</v>
      </c>
      <c r="F264" t="e">
        <v>#N/A</v>
      </c>
    </row>
    <row r="265" spans="4:6" x14ac:dyDescent="0.3">
      <c r="D265" t="e">
        <v>#N/A</v>
      </c>
      <c r="E265" t="e">
        <v>#N/A</v>
      </c>
      <c r="F265" t="e">
        <v>#N/A</v>
      </c>
    </row>
    <row r="266" spans="4:6" x14ac:dyDescent="0.3">
      <c r="D266" t="e">
        <v>#N/A</v>
      </c>
      <c r="E266" t="e">
        <v>#N/A</v>
      </c>
      <c r="F266" t="e">
        <v>#N/A</v>
      </c>
    </row>
    <row r="267" spans="4:6" x14ac:dyDescent="0.3">
      <c r="D267" t="e">
        <v>#N/A</v>
      </c>
      <c r="E267" t="e">
        <v>#N/A</v>
      </c>
      <c r="F267" t="e">
        <v>#N/A</v>
      </c>
    </row>
    <row r="268" spans="4:6" x14ac:dyDescent="0.3">
      <c r="D268" t="e">
        <v>#N/A</v>
      </c>
      <c r="E268" t="e">
        <v>#N/A</v>
      </c>
      <c r="F268" t="e">
        <v>#N/A</v>
      </c>
    </row>
    <row r="269" spans="4:6" x14ac:dyDescent="0.3">
      <c r="D269" t="e">
        <v>#N/A</v>
      </c>
      <c r="E269" t="e">
        <v>#N/A</v>
      </c>
      <c r="F269" t="e">
        <v>#N/A</v>
      </c>
    </row>
    <row r="270" spans="4:6" x14ac:dyDescent="0.3">
      <c r="D270" t="e">
        <v>#N/A</v>
      </c>
      <c r="E270" t="e">
        <v>#N/A</v>
      </c>
      <c r="F270" t="e">
        <v>#N/A</v>
      </c>
    </row>
    <row r="271" spans="4:6" x14ac:dyDescent="0.3">
      <c r="D271" t="e">
        <v>#N/A</v>
      </c>
      <c r="E271" t="e">
        <v>#N/A</v>
      </c>
      <c r="F271" t="e">
        <v>#N/A</v>
      </c>
    </row>
    <row r="272" spans="4:6" x14ac:dyDescent="0.3">
      <c r="D272" t="e">
        <v>#N/A</v>
      </c>
      <c r="E272" t="e">
        <v>#N/A</v>
      </c>
      <c r="F272" t="e">
        <v>#N/A</v>
      </c>
    </row>
    <row r="273" spans="4:6" x14ac:dyDescent="0.3">
      <c r="D273" t="e">
        <v>#N/A</v>
      </c>
      <c r="E273" t="e">
        <v>#N/A</v>
      </c>
      <c r="F273" t="e">
        <v>#N/A</v>
      </c>
    </row>
    <row r="274" spans="4:6" x14ac:dyDescent="0.3">
      <c r="D274" t="e">
        <v>#N/A</v>
      </c>
      <c r="E274" t="e">
        <v>#N/A</v>
      </c>
      <c r="F274" t="e">
        <v>#N/A</v>
      </c>
    </row>
    <row r="275" spans="4:6" x14ac:dyDescent="0.3">
      <c r="D275" t="e">
        <v>#N/A</v>
      </c>
      <c r="E275" t="e">
        <v>#N/A</v>
      </c>
      <c r="F275" t="e">
        <v>#N/A</v>
      </c>
    </row>
    <row r="276" spans="4:6" x14ac:dyDescent="0.3">
      <c r="D276" t="e">
        <v>#N/A</v>
      </c>
      <c r="E276" t="e">
        <v>#N/A</v>
      </c>
      <c r="F276" t="e">
        <v>#N/A</v>
      </c>
    </row>
    <row r="277" spans="4:6" x14ac:dyDescent="0.3">
      <c r="D277" t="e">
        <v>#N/A</v>
      </c>
      <c r="E277" t="e">
        <v>#N/A</v>
      </c>
      <c r="F277" t="e">
        <v>#N/A</v>
      </c>
    </row>
    <row r="278" spans="4:6" x14ac:dyDescent="0.3">
      <c r="D278" t="e">
        <v>#N/A</v>
      </c>
      <c r="E278" t="e">
        <v>#N/A</v>
      </c>
      <c r="F278" t="e">
        <v>#N/A</v>
      </c>
    </row>
    <row r="279" spans="4:6" x14ac:dyDescent="0.3">
      <c r="D279" t="e">
        <v>#N/A</v>
      </c>
      <c r="E279" t="e">
        <v>#N/A</v>
      </c>
      <c r="F279" t="e">
        <v>#N/A</v>
      </c>
    </row>
    <row r="280" spans="4:6" x14ac:dyDescent="0.3">
      <c r="D280" t="e">
        <v>#N/A</v>
      </c>
      <c r="E280" t="e">
        <v>#N/A</v>
      </c>
      <c r="F280" t="e">
        <v>#N/A</v>
      </c>
    </row>
    <row r="281" spans="4:6" x14ac:dyDescent="0.3">
      <c r="D281" t="e">
        <v>#N/A</v>
      </c>
      <c r="E281" t="e">
        <v>#N/A</v>
      </c>
      <c r="F281" t="e">
        <v>#N/A</v>
      </c>
    </row>
    <row r="282" spans="4:6" x14ac:dyDescent="0.3">
      <c r="D282" t="e">
        <v>#N/A</v>
      </c>
      <c r="E282" t="e">
        <v>#N/A</v>
      </c>
      <c r="F282" t="e">
        <v>#N/A</v>
      </c>
    </row>
    <row r="283" spans="4:6" x14ac:dyDescent="0.3">
      <c r="D283" t="e">
        <v>#N/A</v>
      </c>
      <c r="E283" t="e">
        <v>#N/A</v>
      </c>
      <c r="F283" t="e">
        <v>#N/A</v>
      </c>
    </row>
    <row r="284" spans="4:6" x14ac:dyDescent="0.3">
      <c r="D284" t="e">
        <v>#N/A</v>
      </c>
      <c r="E284" t="e">
        <v>#N/A</v>
      </c>
      <c r="F284" t="e">
        <v>#N/A</v>
      </c>
    </row>
    <row r="285" spans="4:6" x14ac:dyDescent="0.3">
      <c r="D285" t="e">
        <v>#N/A</v>
      </c>
      <c r="E285" t="e">
        <v>#N/A</v>
      </c>
      <c r="F285" t="e">
        <v>#N/A</v>
      </c>
    </row>
    <row r="286" spans="4:6" x14ac:dyDescent="0.3">
      <c r="D286" t="e">
        <v>#N/A</v>
      </c>
      <c r="E286" t="e">
        <v>#N/A</v>
      </c>
      <c r="F286" t="e">
        <v>#N/A</v>
      </c>
    </row>
    <row r="287" spans="4:6" x14ac:dyDescent="0.3">
      <c r="D287" t="e">
        <v>#N/A</v>
      </c>
      <c r="E287" t="e">
        <v>#N/A</v>
      </c>
      <c r="F287" t="e">
        <v>#N/A</v>
      </c>
    </row>
    <row r="288" spans="4:6" x14ac:dyDescent="0.3">
      <c r="D288" t="e">
        <v>#N/A</v>
      </c>
      <c r="E288" t="e">
        <v>#N/A</v>
      </c>
      <c r="F288" t="e">
        <v>#N/A</v>
      </c>
    </row>
    <row r="289" spans="4:6" x14ac:dyDescent="0.3">
      <c r="D289" t="e">
        <v>#N/A</v>
      </c>
      <c r="E289" t="e">
        <v>#N/A</v>
      </c>
      <c r="F289" t="e">
        <v>#N/A</v>
      </c>
    </row>
    <row r="290" spans="4:6" x14ac:dyDescent="0.3">
      <c r="D290" t="e">
        <v>#N/A</v>
      </c>
      <c r="E290" t="e">
        <v>#N/A</v>
      </c>
      <c r="F290" t="e">
        <v>#N/A</v>
      </c>
    </row>
    <row r="291" spans="4:6" x14ac:dyDescent="0.3">
      <c r="D291" t="e">
        <v>#N/A</v>
      </c>
      <c r="E291" t="e">
        <v>#N/A</v>
      </c>
      <c r="F291" t="e">
        <v>#N/A</v>
      </c>
    </row>
    <row r="292" spans="4:6" x14ac:dyDescent="0.3">
      <c r="D292" t="e">
        <v>#N/A</v>
      </c>
      <c r="E292" t="e">
        <v>#N/A</v>
      </c>
      <c r="F292" t="e">
        <v>#N/A</v>
      </c>
    </row>
    <row r="293" spans="4:6" x14ac:dyDescent="0.3">
      <c r="D293" t="e">
        <v>#N/A</v>
      </c>
      <c r="E293" t="e">
        <v>#N/A</v>
      </c>
      <c r="F293" t="e">
        <v>#N/A</v>
      </c>
    </row>
    <row r="294" spans="4:6" x14ac:dyDescent="0.3">
      <c r="D294" t="e">
        <v>#N/A</v>
      </c>
      <c r="E294" t="e">
        <v>#N/A</v>
      </c>
      <c r="F294" t="e">
        <v>#N/A</v>
      </c>
    </row>
    <row r="295" spans="4:6" x14ac:dyDescent="0.3">
      <c r="D295" t="e">
        <v>#N/A</v>
      </c>
      <c r="E295" t="e">
        <v>#N/A</v>
      </c>
      <c r="F295" t="e">
        <v>#N/A</v>
      </c>
    </row>
    <row r="296" spans="4:6" x14ac:dyDescent="0.3">
      <c r="D296" t="e">
        <v>#N/A</v>
      </c>
      <c r="E296" t="e">
        <v>#N/A</v>
      </c>
      <c r="F296" t="e">
        <v>#N/A</v>
      </c>
    </row>
    <row r="297" spans="4:6" x14ac:dyDescent="0.3">
      <c r="D297" t="e">
        <v>#N/A</v>
      </c>
      <c r="E297" t="e">
        <v>#N/A</v>
      </c>
      <c r="F297" t="e">
        <v>#N/A</v>
      </c>
    </row>
    <row r="298" spans="4:6" x14ac:dyDescent="0.3">
      <c r="D298" t="e">
        <v>#N/A</v>
      </c>
      <c r="E298" t="e">
        <v>#N/A</v>
      </c>
      <c r="F298" t="e">
        <v>#N/A</v>
      </c>
    </row>
    <row r="299" spans="4:6" x14ac:dyDescent="0.3">
      <c r="D299" t="e">
        <v>#N/A</v>
      </c>
      <c r="E299" t="e">
        <v>#N/A</v>
      </c>
      <c r="F299" t="e">
        <v>#N/A</v>
      </c>
    </row>
    <row r="300" spans="4:6" x14ac:dyDescent="0.3">
      <c r="D300" t="e">
        <v>#N/A</v>
      </c>
      <c r="E300" t="e">
        <v>#N/A</v>
      </c>
      <c r="F300" t="e">
        <v>#N/A</v>
      </c>
    </row>
    <row r="301" spans="4:6" x14ac:dyDescent="0.3">
      <c r="D301" t="e">
        <v>#N/A</v>
      </c>
      <c r="E301" t="e">
        <v>#N/A</v>
      </c>
      <c r="F301" t="e">
        <v>#N/A</v>
      </c>
    </row>
    <row r="302" spans="4:6" x14ac:dyDescent="0.3">
      <c r="D302" t="e">
        <v>#N/A</v>
      </c>
      <c r="E302" t="e">
        <v>#N/A</v>
      </c>
      <c r="F302" t="e">
        <v>#N/A</v>
      </c>
    </row>
    <row r="303" spans="4:6" x14ac:dyDescent="0.3">
      <c r="D303" t="e">
        <v>#N/A</v>
      </c>
      <c r="E303" t="e">
        <v>#N/A</v>
      </c>
      <c r="F303" t="e">
        <v>#N/A</v>
      </c>
    </row>
    <row r="304" spans="4:6" x14ac:dyDescent="0.3">
      <c r="D304" t="e">
        <v>#N/A</v>
      </c>
      <c r="E304" t="e">
        <v>#N/A</v>
      </c>
      <c r="F304" t="e">
        <v>#N/A</v>
      </c>
    </row>
    <row r="305" spans="4:6" x14ac:dyDescent="0.3">
      <c r="D305" t="e">
        <v>#N/A</v>
      </c>
      <c r="E305" t="e">
        <v>#N/A</v>
      </c>
      <c r="F305" t="e">
        <v>#N/A</v>
      </c>
    </row>
    <row r="306" spans="4:6" x14ac:dyDescent="0.3">
      <c r="D306" t="e">
        <v>#N/A</v>
      </c>
      <c r="E306" t="e">
        <v>#N/A</v>
      </c>
      <c r="F306" t="e">
        <v>#N/A</v>
      </c>
    </row>
    <row r="307" spans="4:6" x14ac:dyDescent="0.3">
      <c r="D307" t="e">
        <v>#N/A</v>
      </c>
      <c r="E307" t="e">
        <v>#N/A</v>
      </c>
      <c r="F307" t="e">
        <v>#N/A</v>
      </c>
    </row>
    <row r="308" spans="4:6" x14ac:dyDescent="0.3">
      <c r="D308" t="e">
        <v>#N/A</v>
      </c>
      <c r="E308" t="e">
        <v>#N/A</v>
      </c>
      <c r="F308" t="e">
        <v>#N/A</v>
      </c>
    </row>
    <row r="309" spans="4:6" x14ac:dyDescent="0.3">
      <c r="D309" t="e">
        <v>#N/A</v>
      </c>
      <c r="E309" t="e">
        <v>#N/A</v>
      </c>
      <c r="F309" t="e">
        <v>#N/A</v>
      </c>
    </row>
    <row r="310" spans="4:6" x14ac:dyDescent="0.3">
      <c r="D310" t="e">
        <v>#N/A</v>
      </c>
      <c r="E310" t="e">
        <v>#N/A</v>
      </c>
      <c r="F310" t="e">
        <v>#N/A</v>
      </c>
    </row>
    <row r="311" spans="4:6" x14ac:dyDescent="0.3">
      <c r="D311" t="e">
        <v>#N/A</v>
      </c>
      <c r="E311" t="e">
        <v>#N/A</v>
      </c>
      <c r="F311" t="e">
        <v>#N/A</v>
      </c>
    </row>
    <row r="312" spans="4:6" x14ac:dyDescent="0.3">
      <c r="D312" t="e">
        <v>#N/A</v>
      </c>
      <c r="E312" t="e">
        <v>#N/A</v>
      </c>
      <c r="F312" t="e">
        <v>#N/A</v>
      </c>
    </row>
    <row r="313" spans="4:6" x14ac:dyDescent="0.3">
      <c r="D313" t="e">
        <v>#N/A</v>
      </c>
      <c r="E313" t="e">
        <v>#N/A</v>
      </c>
      <c r="F313" t="e">
        <v>#N/A</v>
      </c>
    </row>
    <row r="314" spans="4:6" x14ac:dyDescent="0.3">
      <c r="D314" t="e">
        <v>#N/A</v>
      </c>
      <c r="E314" t="e">
        <v>#N/A</v>
      </c>
      <c r="F314" t="e">
        <v>#N/A</v>
      </c>
    </row>
    <row r="315" spans="4:6" x14ac:dyDescent="0.3">
      <c r="D315" t="e">
        <v>#N/A</v>
      </c>
      <c r="E315" t="e">
        <v>#N/A</v>
      </c>
      <c r="F315" t="e">
        <v>#N/A</v>
      </c>
    </row>
    <row r="316" spans="4:6" x14ac:dyDescent="0.3">
      <c r="D316" t="e">
        <v>#N/A</v>
      </c>
      <c r="E316" t="e">
        <v>#N/A</v>
      </c>
      <c r="F316" t="e">
        <v>#N/A</v>
      </c>
    </row>
    <row r="317" spans="4:6" x14ac:dyDescent="0.3">
      <c r="D317" t="e">
        <v>#N/A</v>
      </c>
      <c r="E317" t="e">
        <v>#N/A</v>
      </c>
      <c r="F317" t="e">
        <v>#N/A</v>
      </c>
    </row>
    <row r="318" spans="4:6" x14ac:dyDescent="0.3">
      <c r="D318" t="e">
        <v>#N/A</v>
      </c>
      <c r="E318" t="e">
        <v>#N/A</v>
      </c>
      <c r="F318" t="e">
        <v>#N/A</v>
      </c>
    </row>
    <row r="319" spans="4:6" x14ac:dyDescent="0.3">
      <c r="D319" t="e">
        <v>#N/A</v>
      </c>
      <c r="E319" t="e">
        <v>#N/A</v>
      </c>
      <c r="F319" t="e">
        <v>#N/A</v>
      </c>
    </row>
    <row r="320" spans="4:6" x14ac:dyDescent="0.3">
      <c r="D320" t="e">
        <v>#N/A</v>
      </c>
      <c r="E320" t="e">
        <v>#N/A</v>
      </c>
      <c r="F320" t="e">
        <v>#N/A</v>
      </c>
    </row>
    <row r="321" spans="4:6" x14ac:dyDescent="0.3">
      <c r="D321" t="e">
        <v>#N/A</v>
      </c>
      <c r="E321" t="e">
        <v>#N/A</v>
      </c>
      <c r="F321" t="e">
        <v>#N/A</v>
      </c>
    </row>
    <row r="322" spans="4:6" x14ac:dyDescent="0.3">
      <c r="D322" t="e">
        <v>#N/A</v>
      </c>
      <c r="E322" t="e">
        <v>#N/A</v>
      </c>
      <c r="F322" t="e">
        <v>#N/A</v>
      </c>
    </row>
    <row r="323" spans="4:6" x14ac:dyDescent="0.3">
      <c r="D323" t="e">
        <v>#N/A</v>
      </c>
      <c r="E323" t="e">
        <v>#N/A</v>
      </c>
      <c r="F323" t="e">
        <v>#N/A</v>
      </c>
    </row>
    <row r="324" spans="4:6" x14ac:dyDescent="0.3">
      <c r="D324" t="e">
        <v>#N/A</v>
      </c>
      <c r="E324" t="e">
        <v>#N/A</v>
      </c>
      <c r="F324" t="e">
        <v>#N/A</v>
      </c>
    </row>
    <row r="325" spans="4:6" x14ac:dyDescent="0.3">
      <c r="D325" t="e">
        <v>#N/A</v>
      </c>
      <c r="E325" t="e">
        <v>#N/A</v>
      </c>
      <c r="F325" t="e">
        <v>#N/A</v>
      </c>
    </row>
    <row r="326" spans="4:6" x14ac:dyDescent="0.3">
      <c r="D326" t="e">
        <v>#N/A</v>
      </c>
      <c r="E326" t="e">
        <v>#N/A</v>
      </c>
      <c r="F326" t="e">
        <v>#N/A</v>
      </c>
    </row>
    <row r="327" spans="4:6" x14ac:dyDescent="0.3">
      <c r="D327" t="e">
        <v>#N/A</v>
      </c>
      <c r="E327" t="e">
        <v>#N/A</v>
      </c>
      <c r="F327" t="e">
        <v>#N/A</v>
      </c>
    </row>
    <row r="328" spans="4:6" x14ac:dyDescent="0.3">
      <c r="D328" t="e">
        <v>#N/A</v>
      </c>
      <c r="E328" t="e">
        <v>#N/A</v>
      </c>
      <c r="F328" t="e">
        <v>#N/A</v>
      </c>
    </row>
    <row r="329" spans="4:6" x14ac:dyDescent="0.3">
      <c r="D329" t="e">
        <v>#N/A</v>
      </c>
      <c r="E329" t="e">
        <v>#N/A</v>
      </c>
      <c r="F329" t="e">
        <v>#N/A</v>
      </c>
    </row>
    <row r="330" spans="4:6" x14ac:dyDescent="0.3">
      <c r="D330" t="e">
        <v>#N/A</v>
      </c>
      <c r="E330" t="e">
        <v>#N/A</v>
      </c>
      <c r="F330" t="e">
        <v>#N/A</v>
      </c>
    </row>
    <row r="331" spans="4:6" x14ac:dyDescent="0.3">
      <c r="D331" t="e">
        <v>#N/A</v>
      </c>
      <c r="E331" t="e">
        <v>#N/A</v>
      </c>
      <c r="F331" t="e">
        <v>#N/A</v>
      </c>
    </row>
    <row r="332" spans="4:6" x14ac:dyDescent="0.3">
      <c r="D332" t="e">
        <v>#N/A</v>
      </c>
      <c r="E332" t="e">
        <v>#N/A</v>
      </c>
      <c r="F332" t="e">
        <v>#N/A</v>
      </c>
    </row>
    <row r="333" spans="4:6" x14ac:dyDescent="0.3">
      <c r="D333" t="e">
        <v>#N/A</v>
      </c>
      <c r="E333" t="e">
        <v>#N/A</v>
      </c>
      <c r="F333" t="e">
        <v>#N/A</v>
      </c>
    </row>
    <row r="334" spans="4:6" x14ac:dyDescent="0.3">
      <c r="D334" t="e">
        <v>#N/A</v>
      </c>
      <c r="E334" t="e">
        <v>#N/A</v>
      </c>
      <c r="F334" t="e">
        <v>#N/A</v>
      </c>
    </row>
    <row r="335" spans="4:6" x14ac:dyDescent="0.3">
      <c r="D335" t="e">
        <v>#N/A</v>
      </c>
      <c r="E335" t="e">
        <v>#N/A</v>
      </c>
      <c r="F335" t="e">
        <v>#N/A</v>
      </c>
    </row>
    <row r="336" spans="4:6" x14ac:dyDescent="0.3">
      <c r="D336" t="e">
        <v>#N/A</v>
      </c>
      <c r="E336" t="e">
        <v>#N/A</v>
      </c>
      <c r="F336" t="e">
        <v>#N/A</v>
      </c>
    </row>
    <row r="337" spans="4:6" x14ac:dyDescent="0.3">
      <c r="D337" t="e">
        <v>#N/A</v>
      </c>
      <c r="E337" t="e">
        <v>#N/A</v>
      </c>
      <c r="F337" t="e">
        <v>#N/A</v>
      </c>
    </row>
    <row r="338" spans="4:6" x14ac:dyDescent="0.3">
      <c r="D338" t="e">
        <v>#N/A</v>
      </c>
      <c r="E338" t="e">
        <v>#N/A</v>
      </c>
      <c r="F338" t="e">
        <v>#N/A</v>
      </c>
    </row>
    <row r="339" spans="4:6" x14ac:dyDescent="0.3">
      <c r="D339" t="e">
        <v>#N/A</v>
      </c>
      <c r="E339" t="e">
        <v>#N/A</v>
      </c>
      <c r="F339" t="e">
        <v>#N/A</v>
      </c>
    </row>
    <row r="340" spans="4:6" x14ac:dyDescent="0.3">
      <c r="D340" t="e">
        <v>#N/A</v>
      </c>
      <c r="E340" t="e">
        <v>#N/A</v>
      </c>
      <c r="F340" t="e">
        <v>#N/A</v>
      </c>
    </row>
    <row r="341" spans="4:6" x14ac:dyDescent="0.3">
      <c r="D341" t="e">
        <v>#N/A</v>
      </c>
      <c r="E341" t="e">
        <v>#N/A</v>
      </c>
      <c r="F341" t="e">
        <v>#N/A</v>
      </c>
    </row>
    <row r="342" spans="4:6" x14ac:dyDescent="0.3">
      <c r="D342" t="e">
        <v>#N/A</v>
      </c>
      <c r="E342" t="e">
        <v>#N/A</v>
      </c>
      <c r="F342" t="e">
        <v>#N/A</v>
      </c>
    </row>
    <row r="343" spans="4:6" x14ac:dyDescent="0.3">
      <c r="D343" t="e">
        <v>#N/A</v>
      </c>
      <c r="E343" t="e">
        <v>#N/A</v>
      </c>
      <c r="F343" t="e">
        <v>#N/A</v>
      </c>
    </row>
    <row r="344" spans="4:6" x14ac:dyDescent="0.3">
      <c r="D344" t="e">
        <v>#N/A</v>
      </c>
      <c r="E344" t="e">
        <v>#N/A</v>
      </c>
      <c r="F344" t="e">
        <v>#N/A</v>
      </c>
    </row>
    <row r="345" spans="4:6" x14ac:dyDescent="0.3">
      <c r="D345" t="e">
        <v>#N/A</v>
      </c>
      <c r="E345" t="e">
        <v>#N/A</v>
      </c>
      <c r="F345" t="e">
        <v>#N/A</v>
      </c>
    </row>
    <row r="346" spans="4:6" x14ac:dyDescent="0.3">
      <c r="D346" t="e">
        <v>#N/A</v>
      </c>
      <c r="E346" t="e">
        <v>#N/A</v>
      </c>
      <c r="F346" t="e">
        <v>#N/A</v>
      </c>
    </row>
    <row r="347" spans="4:6" x14ac:dyDescent="0.3">
      <c r="D347" t="e">
        <v>#N/A</v>
      </c>
      <c r="E347" t="e">
        <v>#N/A</v>
      </c>
      <c r="F347" t="e">
        <v>#N/A</v>
      </c>
    </row>
    <row r="348" spans="4:6" x14ac:dyDescent="0.3">
      <c r="D348" t="e">
        <v>#N/A</v>
      </c>
      <c r="E348" t="e">
        <v>#N/A</v>
      </c>
      <c r="F348" t="e">
        <v>#N/A</v>
      </c>
    </row>
    <row r="349" spans="4:6" x14ac:dyDescent="0.3">
      <c r="D349" t="e">
        <v>#N/A</v>
      </c>
      <c r="E349" t="e">
        <v>#N/A</v>
      </c>
      <c r="F349" t="e">
        <v>#N/A</v>
      </c>
    </row>
    <row r="350" spans="4:6" x14ac:dyDescent="0.3">
      <c r="D350" t="e">
        <v>#N/A</v>
      </c>
      <c r="E350" t="e">
        <v>#N/A</v>
      </c>
      <c r="F350" t="e">
        <v>#N/A</v>
      </c>
    </row>
    <row r="351" spans="4:6" x14ac:dyDescent="0.3">
      <c r="D351" t="e">
        <v>#N/A</v>
      </c>
      <c r="E351" t="e">
        <v>#N/A</v>
      </c>
      <c r="F351" t="e">
        <v>#N/A</v>
      </c>
    </row>
    <row r="352" spans="4:6" x14ac:dyDescent="0.3">
      <c r="D352" t="e">
        <v>#N/A</v>
      </c>
      <c r="E352" t="e">
        <v>#N/A</v>
      </c>
      <c r="F352" t="e">
        <v>#N/A</v>
      </c>
    </row>
    <row r="353" spans="4:6" x14ac:dyDescent="0.3">
      <c r="D353" t="e">
        <v>#N/A</v>
      </c>
      <c r="E353" t="e">
        <v>#N/A</v>
      </c>
      <c r="F353" t="e">
        <v>#N/A</v>
      </c>
    </row>
    <row r="354" spans="4:6" x14ac:dyDescent="0.3">
      <c r="D354" t="e">
        <v>#N/A</v>
      </c>
      <c r="E354" t="e">
        <v>#N/A</v>
      </c>
      <c r="F354" t="e">
        <v>#N/A</v>
      </c>
    </row>
    <row r="355" spans="4:6" x14ac:dyDescent="0.3">
      <c r="D355" t="e">
        <v>#N/A</v>
      </c>
      <c r="E355" t="e">
        <v>#N/A</v>
      </c>
      <c r="F355" t="e">
        <v>#N/A</v>
      </c>
    </row>
    <row r="356" spans="4:6" x14ac:dyDescent="0.3">
      <c r="D356" t="e">
        <v>#N/A</v>
      </c>
      <c r="E356" t="e">
        <v>#N/A</v>
      </c>
      <c r="F356" t="e">
        <v>#N/A</v>
      </c>
    </row>
    <row r="357" spans="4:6" x14ac:dyDescent="0.3">
      <c r="D357" t="e">
        <v>#N/A</v>
      </c>
      <c r="E357" t="e">
        <v>#N/A</v>
      </c>
      <c r="F357" t="e">
        <v>#N/A</v>
      </c>
    </row>
    <row r="358" spans="4:6" x14ac:dyDescent="0.3">
      <c r="D358" t="e">
        <v>#N/A</v>
      </c>
      <c r="E358" t="e">
        <v>#N/A</v>
      </c>
      <c r="F358" t="e">
        <v>#N/A</v>
      </c>
    </row>
    <row r="359" spans="4:6" x14ac:dyDescent="0.3">
      <c r="D359" t="e">
        <v>#N/A</v>
      </c>
      <c r="E359" t="e">
        <v>#N/A</v>
      </c>
      <c r="F359" t="e">
        <v>#N/A</v>
      </c>
    </row>
    <row r="360" spans="4:6" x14ac:dyDescent="0.3">
      <c r="D360" t="e">
        <v>#N/A</v>
      </c>
      <c r="E360" t="e">
        <v>#N/A</v>
      </c>
      <c r="F360" t="e">
        <v>#N/A</v>
      </c>
    </row>
    <row r="361" spans="4:6" x14ac:dyDescent="0.3">
      <c r="D361" t="e">
        <v>#N/A</v>
      </c>
      <c r="E361" t="e">
        <v>#N/A</v>
      </c>
      <c r="F361" t="e">
        <v>#N/A</v>
      </c>
    </row>
    <row r="362" spans="4:6" x14ac:dyDescent="0.3">
      <c r="D362" t="e">
        <v>#N/A</v>
      </c>
      <c r="E362" t="e">
        <v>#N/A</v>
      </c>
      <c r="F362" t="e">
        <v>#N/A</v>
      </c>
    </row>
    <row r="363" spans="4:6" x14ac:dyDescent="0.3">
      <c r="D363" t="e">
        <v>#N/A</v>
      </c>
      <c r="E363" t="e">
        <v>#N/A</v>
      </c>
      <c r="F363" t="e">
        <v>#N/A</v>
      </c>
    </row>
    <row r="364" spans="4:6" x14ac:dyDescent="0.3">
      <c r="D364" t="e">
        <v>#N/A</v>
      </c>
      <c r="E364" t="e">
        <v>#N/A</v>
      </c>
      <c r="F364" t="e">
        <v>#N/A</v>
      </c>
    </row>
    <row r="365" spans="4:6" x14ac:dyDescent="0.3">
      <c r="D365" t="e">
        <v>#N/A</v>
      </c>
      <c r="E365" t="e">
        <v>#N/A</v>
      </c>
      <c r="F365" t="e">
        <v>#N/A</v>
      </c>
    </row>
    <row r="366" spans="4:6" x14ac:dyDescent="0.3">
      <c r="D366" t="e">
        <v>#N/A</v>
      </c>
      <c r="E366" t="e">
        <v>#N/A</v>
      </c>
      <c r="F366" t="e">
        <v>#N/A</v>
      </c>
    </row>
    <row r="367" spans="4:6" x14ac:dyDescent="0.3">
      <c r="D367" t="e">
        <v>#N/A</v>
      </c>
      <c r="E367" t="e">
        <v>#N/A</v>
      </c>
      <c r="F367" t="e">
        <v>#N/A</v>
      </c>
    </row>
    <row r="368" spans="4:6" x14ac:dyDescent="0.3">
      <c r="D368" t="e">
        <v>#N/A</v>
      </c>
      <c r="E368" t="e">
        <v>#N/A</v>
      </c>
      <c r="F368" t="e">
        <v>#N/A</v>
      </c>
    </row>
    <row r="369" spans="4:6" x14ac:dyDescent="0.3">
      <c r="D369" t="e">
        <v>#N/A</v>
      </c>
      <c r="E369" t="e">
        <v>#N/A</v>
      </c>
      <c r="F369" t="e">
        <v>#N/A</v>
      </c>
    </row>
    <row r="370" spans="4:6" x14ac:dyDescent="0.3">
      <c r="D370" t="e">
        <v>#N/A</v>
      </c>
      <c r="E370" t="e">
        <v>#N/A</v>
      </c>
      <c r="F370" t="e">
        <v>#N/A</v>
      </c>
    </row>
    <row r="371" spans="4:6" x14ac:dyDescent="0.3">
      <c r="D371" t="e">
        <v>#N/A</v>
      </c>
      <c r="E371" t="e">
        <v>#N/A</v>
      </c>
      <c r="F371" t="e">
        <v>#N/A</v>
      </c>
    </row>
    <row r="372" spans="4:6" x14ac:dyDescent="0.3">
      <c r="D372" t="e">
        <v>#N/A</v>
      </c>
      <c r="E372" t="e">
        <v>#N/A</v>
      </c>
      <c r="F372" t="e">
        <v>#N/A</v>
      </c>
    </row>
    <row r="373" spans="4:6" x14ac:dyDescent="0.3">
      <c r="D373" t="e">
        <v>#N/A</v>
      </c>
      <c r="E373" t="e">
        <v>#N/A</v>
      </c>
      <c r="F373" t="e">
        <v>#N/A</v>
      </c>
    </row>
    <row r="374" spans="4:6" x14ac:dyDescent="0.3">
      <c r="D374" t="e">
        <v>#N/A</v>
      </c>
      <c r="E374" t="e">
        <v>#N/A</v>
      </c>
      <c r="F374" t="e">
        <v>#N/A</v>
      </c>
    </row>
    <row r="375" spans="4:6" x14ac:dyDescent="0.3">
      <c r="D375" t="e">
        <v>#N/A</v>
      </c>
      <c r="E375" t="e">
        <v>#N/A</v>
      </c>
      <c r="F375" t="e">
        <v>#N/A</v>
      </c>
    </row>
    <row r="376" spans="4:6" x14ac:dyDescent="0.3">
      <c r="D376" t="e">
        <v>#N/A</v>
      </c>
      <c r="E376" t="e">
        <v>#N/A</v>
      </c>
      <c r="F376" t="e">
        <v>#N/A</v>
      </c>
    </row>
    <row r="377" spans="4:6" x14ac:dyDescent="0.3">
      <c r="D377" t="e">
        <v>#N/A</v>
      </c>
      <c r="E377" t="e">
        <v>#N/A</v>
      </c>
      <c r="F377" t="e">
        <v>#N/A</v>
      </c>
    </row>
    <row r="378" spans="4:6" x14ac:dyDescent="0.3">
      <c r="D378" t="e">
        <v>#N/A</v>
      </c>
      <c r="E378" t="e">
        <v>#N/A</v>
      </c>
      <c r="F378" t="e">
        <v>#N/A</v>
      </c>
    </row>
    <row r="379" spans="4:6" x14ac:dyDescent="0.3">
      <c r="D379" t="e">
        <v>#N/A</v>
      </c>
      <c r="E379" t="e">
        <v>#N/A</v>
      </c>
      <c r="F379" t="e">
        <v>#N/A</v>
      </c>
    </row>
    <row r="380" spans="4:6" x14ac:dyDescent="0.3">
      <c r="D380" t="e">
        <v>#N/A</v>
      </c>
      <c r="E380" t="e">
        <v>#N/A</v>
      </c>
      <c r="F380" t="e">
        <v>#N/A</v>
      </c>
    </row>
    <row r="381" spans="4:6" x14ac:dyDescent="0.3">
      <c r="D381" t="e">
        <v>#N/A</v>
      </c>
      <c r="E381" t="e">
        <v>#N/A</v>
      </c>
      <c r="F381" t="e">
        <v>#N/A</v>
      </c>
    </row>
    <row r="382" spans="4:6" x14ac:dyDescent="0.3">
      <c r="D382" t="e">
        <v>#N/A</v>
      </c>
      <c r="E382" t="e">
        <v>#N/A</v>
      </c>
      <c r="F382" t="e">
        <v>#N/A</v>
      </c>
    </row>
    <row r="383" spans="4:6" x14ac:dyDescent="0.3">
      <c r="D383" t="e">
        <v>#N/A</v>
      </c>
      <c r="E383" t="e">
        <v>#N/A</v>
      </c>
      <c r="F383" t="e">
        <v>#N/A</v>
      </c>
    </row>
    <row r="384" spans="4:6" x14ac:dyDescent="0.3">
      <c r="D384" t="e">
        <v>#N/A</v>
      </c>
      <c r="E384" t="e">
        <v>#N/A</v>
      </c>
      <c r="F384" t="e">
        <v>#N/A</v>
      </c>
    </row>
    <row r="385" spans="4:6" x14ac:dyDescent="0.3">
      <c r="D385" t="e">
        <v>#N/A</v>
      </c>
      <c r="E385" t="e">
        <v>#N/A</v>
      </c>
      <c r="F385" t="e">
        <v>#N/A</v>
      </c>
    </row>
    <row r="386" spans="4:6" x14ac:dyDescent="0.3">
      <c r="D386" t="e">
        <v>#N/A</v>
      </c>
      <c r="E386" t="e">
        <v>#N/A</v>
      </c>
      <c r="F386" t="e">
        <v>#N/A</v>
      </c>
    </row>
    <row r="387" spans="4:6" x14ac:dyDescent="0.3">
      <c r="D387" t="e">
        <v>#N/A</v>
      </c>
      <c r="E387" t="e">
        <v>#N/A</v>
      </c>
      <c r="F387" t="e">
        <v>#N/A</v>
      </c>
    </row>
    <row r="388" spans="4:6" x14ac:dyDescent="0.3">
      <c r="D388" t="e">
        <v>#N/A</v>
      </c>
      <c r="E388" t="e">
        <v>#N/A</v>
      </c>
      <c r="F388" t="e">
        <v>#N/A</v>
      </c>
    </row>
    <row r="389" spans="4:6" x14ac:dyDescent="0.3">
      <c r="D389" t="e">
        <v>#N/A</v>
      </c>
      <c r="E389" t="e">
        <v>#N/A</v>
      </c>
      <c r="F389" t="e">
        <v>#N/A</v>
      </c>
    </row>
    <row r="390" spans="4:6" x14ac:dyDescent="0.3">
      <c r="D390" t="e">
        <v>#N/A</v>
      </c>
      <c r="E390" t="e">
        <v>#N/A</v>
      </c>
      <c r="F390" t="e">
        <v>#N/A</v>
      </c>
    </row>
    <row r="391" spans="4:6" x14ac:dyDescent="0.3">
      <c r="D391" t="e">
        <v>#N/A</v>
      </c>
      <c r="E391" t="e">
        <v>#N/A</v>
      </c>
      <c r="F391" t="e">
        <v>#N/A</v>
      </c>
    </row>
    <row r="392" spans="4:6" x14ac:dyDescent="0.3">
      <c r="D392" t="e">
        <v>#N/A</v>
      </c>
      <c r="E392" t="e">
        <v>#N/A</v>
      </c>
      <c r="F392" t="e">
        <v>#N/A</v>
      </c>
    </row>
    <row r="393" spans="4:6" x14ac:dyDescent="0.3">
      <c r="D393" t="e">
        <v>#N/A</v>
      </c>
      <c r="E393" t="e">
        <v>#N/A</v>
      </c>
      <c r="F393" t="e">
        <v>#N/A</v>
      </c>
    </row>
    <row r="394" spans="4:6" x14ac:dyDescent="0.3">
      <c r="D394" t="e">
        <v>#N/A</v>
      </c>
      <c r="E394" t="e">
        <v>#N/A</v>
      </c>
      <c r="F394" t="e">
        <v>#N/A</v>
      </c>
    </row>
    <row r="395" spans="4:6" x14ac:dyDescent="0.3">
      <c r="D395" t="e">
        <v>#N/A</v>
      </c>
      <c r="E395" t="e">
        <v>#N/A</v>
      </c>
      <c r="F395" t="e">
        <v>#N/A</v>
      </c>
    </row>
    <row r="396" spans="4:6" x14ac:dyDescent="0.3">
      <c r="D396" t="e">
        <v>#N/A</v>
      </c>
      <c r="E396" t="e">
        <v>#N/A</v>
      </c>
      <c r="F396" t="e">
        <v>#N/A</v>
      </c>
    </row>
    <row r="397" spans="4:6" x14ac:dyDescent="0.3">
      <c r="D397" t="e">
        <v>#N/A</v>
      </c>
      <c r="E397" t="e">
        <v>#N/A</v>
      </c>
      <c r="F397" t="e">
        <v>#N/A</v>
      </c>
    </row>
    <row r="398" spans="4:6" x14ac:dyDescent="0.3">
      <c r="D398" t="e">
        <v>#N/A</v>
      </c>
      <c r="E398" t="e">
        <v>#N/A</v>
      </c>
      <c r="F398" t="e">
        <v>#N/A</v>
      </c>
    </row>
    <row r="399" spans="4:6" x14ac:dyDescent="0.3">
      <c r="D399" t="e">
        <v>#N/A</v>
      </c>
      <c r="E399" t="e">
        <v>#N/A</v>
      </c>
      <c r="F399" t="e">
        <v>#N/A</v>
      </c>
    </row>
    <row r="400" spans="4:6" x14ac:dyDescent="0.3">
      <c r="D400" t="e">
        <v>#N/A</v>
      </c>
      <c r="E400" t="e">
        <v>#N/A</v>
      </c>
      <c r="F400" t="e">
        <v>#N/A</v>
      </c>
    </row>
    <row r="401" spans="4:6" x14ac:dyDescent="0.3">
      <c r="D401" t="e">
        <v>#N/A</v>
      </c>
      <c r="E401" t="e">
        <v>#N/A</v>
      </c>
      <c r="F401" t="e">
        <v>#N/A</v>
      </c>
    </row>
    <row r="402" spans="4:6" x14ac:dyDescent="0.3">
      <c r="D402" t="e">
        <v>#N/A</v>
      </c>
      <c r="E402" t="e">
        <v>#N/A</v>
      </c>
      <c r="F402" t="e">
        <v>#N/A</v>
      </c>
    </row>
    <row r="403" spans="4:6" x14ac:dyDescent="0.3">
      <c r="D403" t="e">
        <v>#N/A</v>
      </c>
      <c r="E403" t="e">
        <v>#N/A</v>
      </c>
      <c r="F403" t="e">
        <v>#N/A</v>
      </c>
    </row>
    <row r="404" spans="4:6" x14ac:dyDescent="0.3">
      <c r="D404" t="e">
        <v>#N/A</v>
      </c>
      <c r="E404" t="e">
        <v>#N/A</v>
      </c>
      <c r="F404" t="e">
        <v>#N/A</v>
      </c>
    </row>
    <row r="405" spans="4:6" x14ac:dyDescent="0.3">
      <c r="D405" t="e">
        <v>#N/A</v>
      </c>
      <c r="E405" t="e">
        <v>#N/A</v>
      </c>
      <c r="F405" t="e">
        <v>#N/A</v>
      </c>
    </row>
    <row r="406" spans="4:6" x14ac:dyDescent="0.3">
      <c r="D406" t="e">
        <v>#N/A</v>
      </c>
      <c r="E406" t="e">
        <v>#N/A</v>
      </c>
      <c r="F406" t="e">
        <v>#N/A</v>
      </c>
    </row>
    <row r="407" spans="4:6" x14ac:dyDescent="0.3">
      <c r="D407" t="e">
        <v>#N/A</v>
      </c>
      <c r="E407" t="e">
        <v>#N/A</v>
      </c>
      <c r="F407" t="e">
        <v>#N/A</v>
      </c>
    </row>
    <row r="408" spans="4:6" x14ac:dyDescent="0.3">
      <c r="D408" t="e">
        <v>#N/A</v>
      </c>
      <c r="E408" t="e">
        <v>#N/A</v>
      </c>
      <c r="F408" t="e">
        <v>#N/A</v>
      </c>
    </row>
    <row r="409" spans="4:6" x14ac:dyDescent="0.3">
      <c r="D409" t="e">
        <v>#N/A</v>
      </c>
      <c r="E409" t="e">
        <v>#N/A</v>
      </c>
      <c r="F409" t="e">
        <v>#N/A</v>
      </c>
    </row>
    <row r="410" spans="4:6" x14ac:dyDescent="0.3">
      <c r="D410" t="e">
        <v>#N/A</v>
      </c>
      <c r="E410" t="e">
        <v>#N/A</v>
      </c>
      <c r="F410" t="e">
        <v>#N/A</v>
      </c>
    </row>
    <row r="411" spans="4:6" x14ac:dyDescent="0.3">
      <c r="D411" t="e">
        <v>#N/A</v>
      </c>
      <c r="E411" t="e">
        <v>#N/A</v>
      </c>
      <c r="F411" t="e">
        <v>#N/A</v>
      </c>
    </row>
    <row r="412" spans="4:6" x14ac:dyDescent="0.3">
      <c r="D412" t="e">
        <v>#N/A</v>
      </c>
      <c r="E412" t="e">
        <v>#N/A</v>
      </c>
      <c r="F412" t="e">
        <v>#N/A</v>
      </c>
    </row>
    <row r="413" spans="4:6" x14ac:dyDescent="0.3">
      <c r="D413" t="e">
        <v>#N/A</v>
      </c>
      <c r="E413" t="e">
        <v>#N/A</v>
      </c>
      <c r="F413" t="e">
        <v>#N/A</v>
      </c>
    </row>
    <row r="414" spans="4:6" x14ac:dyDescent="0.3">
      <c r="D414" t="e">
        <v>#N/A</v>
      </c>
      <c r="E414" t="e">
        <v>#N/A</v>
      </c>
      <c r="F414" t="e">
        <v>#N/A</v>
      </c>
    </row>
    <row r="415" spans="4:6" x14ac:dyDescent="0.3">
      <c r="D415" t="e">
        <v>#N/A</v>
      </c>
      <c r="E415" t="e">
        <v>#N/A</v>
      </c>
      <c r="F415" t="e">
        <v>#N/A</v>
      </c>
    </row>
    <row r="416" spans="4:6" x14ac:dyDescent="0.3">
      <c r="D416" t="e">
        <v>#N/A</v>
      </c>
      <c r="E416" t="e">
        <v>#N/A</v>
      </c>
      <c r="F416" t="e">
        <v>#N/A</v>
      </c>
    </row>
    <row r="417" spans="4:6" x14ac:dyDescent="0.3">
      <c r="D417" t="e">
        <v>#N/A</v>
      </c>
      <c r="E417" t="e">
        <v>#N/A</v>
      </c>
      <c r="F417" t="e">
        <v>#N/A</v>
      </c>
    </row>
    <row r="418" spans="4:6" x14ac:dyDescent="0.3">
      <c r="D418" t="e">
        <v>#N/A</v>
      </c>
      <c r="E418" t="e">
        <v>#N/A</v>
      </c>
      <c r="F418" t="e">
        <v>#N/A</v>
      </c>
    </row>
    <row r="419" spans="4:6" x14ac:dyDescent="0.3">
      <c r="D419" t="e">
        <v>#N/A</v>
      </c>
      <c r="E419" t="e">
        <v>#N/A</v>
      </c>
      <c r="F419" t="e">
        <v>#N/A</v>
      </c>
    </row>
    <row r="420" spans="4:6" x14ac:dyDescent="0.3">
      <c r="D420" t="e">
        <v>#N/A</v>
      </c>
      <c r="E420" t="e">
        <v>#N/A</v>
      </c>
      <c r="F420" t="e">
        <v>#N/A</v>
      </c>
    </row>
    <row r="421" spans="4:6" x14ac:dyDescent="0.3">
      <c r="D421" t="e">
        <v>#N/A</v>
      </c>
      <c r="E421" t="e">
        <v>#N/A</v>
      </c>
      <c r="F421" t="e">
        <v>#N/A</v>
      </c>
    </row>
    <row r="422" spans="4:6" x14ac:dyDescent="0.3">
      <c r="D422" t="e">
        <v>#N/A</v>
      </c>
      <c r="E422" t="e">
        <v>#N/A</v>
      </c>
      <c r="F422" t="e">
        <v>#N/A</v>
      </c>
    </row>
    <row r="423" spans="4:6" x14ac:dyDescent="0.3">
      <c r="D423" t="e">
        <v>#N/A</v>
      </c>
      <c r="E423" t="e">
        <v>#N/A</v>
      </c>
      <c r="F423" t="e">
        <v>#N/A</v>
      </c>
    </row>
    <row r="424" spans="4:6" x14ac:dyDescent="0.3">
      <c r="D424" t="e">
        <v>#N/A</v>
      </c>
      <c r="E424" t="e">
        <v>#N/A</v>
      </c>
      <c r="F424" t="e">
        <v>#N/A</v>
      </c>
    </row>
    <row r="425" spans="4:6" x14ac:dyDescent="0.3">
      <c r="D425" t="e">
        <v>#N/A</v>
      </c>
      <c r="E425" t="e">
        <v>#N/A</v>
      </c>
      <c r="F425" t="e">
        <v>#N/A</v>
      </c>
    </row>
    <row r="426" spans="4:6" x14ac:dyDescent="0.3">
      <c r="D426" t="e">
        <v>#N/A</v>
      </c>
      <c r="E426" t="e">
        <v>#N/A</v>
      </c>
      <c r="F426" t="e">
        <v>#N/A</v>
      </c>
    </row>
    <row r="427" spans="4:6" x14ac:dyDescent="0.3">
      <c r="D427" t="e">
        <v>#N/A</v>
      </c>
      <c r="E427" t="e">
        <v>#N/A</v>
      </c>
      <c r="F427" t="e">
        <v>#N/A</v>
      </c>
    </row>
    <row r="428" spans="4:6" x14ac:dyDescent="0.3">
      <c r="D428" t="e">
        <v>#N/A</v>
      </c>
      <c r="E428" t="e">
        <v>#N/A</v>
      </c>
      <c r="F428" t="e">
        <v>#N/A</v>
      </c>
    </row>
    <row r="429" spans="4:6" x14ac:dyDescent="0.3">
      <c r="D429" t="e">
        <v>#N/A</v>
      </c>
      <c r="E429" t="e">
        <v>#N/A</v>
      </c>
      <c r="F429" t="e">
        <v>#N/A</v>
      </c>
    </row>
    <row r="430" spans="4:6" x14ac:dyDescent="0.3">
      <c r="D430" t="e">
        <v>#N/A</v>
      </c>
      <c r="E430" t="e">
        <v>#N/A</v>
      </c>
      <c r="F430" t="e">
        <v>#N/A</v>
      </c>
    </row>
    <row r="431" spans="4:6" x14ac:dyDescent="0.3">
      <c r="D431" t="e">
        <v>#N/A</v>
      </c>
      <c r="E431" t="e">
        <v>#N/A</v>
      </c>
      <c r="F431" t="e">
        <v>#N/A</v>
      </c>
    </row>
    <row r="432" spans="4:6" x14ac:dyDescent="0.3">
      <c r="D432" t="e">
        <v>#N/A</v>
      </c>
      <c r="E432" t="e">
        <v>#N/A</v>
      </c>
      <c r="F432" t="e">
        <v>#N/A</v>
      </c>
    </row>
    <row r="433" spans="4:6" x14ac:dyDescent="0.3">
      <c r="D433" t="e">
        <v>#N/A</v>
      </c>
      <c r="E433" t="e">
        <v>#N/A</v>
      </c>
      <c r="F433" t="e">
        <v>#N/A</v>
      </c>
    </row>
    <row r="434" spans="4:6" x14ac:dyDescent="0.3">
      <c r="D434" t="e">
        <v>#N/A</v>
      </c>
      <c r="E434" t="e">
        <v>#N/A</v>
      </c>
      <c r="F434" t="e">
        <v>#N/A</v>
      </c>
    </row>
    <row r="435" spans="4:6" x14ac:dyDescent="0.3">
      <c r="D435" t="e">
        <v>#N/A</v>
      </c>
      <c r="E435" t="e">
        <v>#N/A</v>
      </c>
      <c r="F435" t="e">
        <v>#N/A</v>
      </c>
    </row>
    <row r="436" spans="4:6" x14ac:dyDescent="0.3">
      <c r="D436" t="e">
        <v>#N/A</v>
      </c>
      <c r="E436" t="e">
        <v>#N/A</v>
      </c>
      <c r="F436" t="e">
        <v>#N/A</v>
      </c>
    </row>
    <row r="437" spans="4:6" x14ac:dyDescent="0.3">
      <c r="D437" t="e">
        <v>#N/A</v>
      </c>
      <c r="E437" t="e">
        <v>#N/A</v>
      </c>
      <c r="F437" t="e">
        <v>#N/A</v>
      </c>
    </row>
    <row r="438" spans="4:6" x14ac:dyDescent="0.3">
      <c r="D438" t="e">
        <v>#N/A</v>
      </c>
      <c r="E438" t="e">
        <v>#N/A</v>
      </c>
      <c r="F438" t="e">
        <v>#N/A</v>
      </c>
    </row>
    <row r="439" spans="4:6" x14ac:dyDescent="0.3">
      <c r="D439" t="e">
        <v>#N/A</v>
      </c>
      <c r="E439" t="e">
        <v>#N/A</v>
      </c>
      <c r="F439" t="e">
        <v>#N/A</v>
      </c>
    </row>
    <row r="440" spans="4:6" x14ac:dyDescent="0.3">
      <c r="D440" t="e">
        <v>#N/A</v>
      </c>
      <c r="E440" t="e">
        <v>#N/A</v>
      </c>
      <c r="F440" t="e"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5746E-9382-4BFB-A196-00E3F2BA55DA}">
  <dimension ref="A1:E105"/>
  <sheetViews>
    <sheetView workbookViewId="0">
      <selection activeCell="E19" sqref="E19"/>
    </sheetView>
  </sheetViews>
  <sheetFormatPr defaultRowHeight="14.4" x14ac:dyDescent="0.3"/>
  <cols>
    <col min="1" max="1" width="11.6640625" style="8" customWidth="1"/>
    <col min="2" max="2" width="26.88671875" style="8" customWidth="1"/>
    <col min="3" max="3" width="13.21875" style="8" customWidth="1"/>
    <col min="4" max="4" width="14.44140625" style="8" customWidth="1"/>
    <col min="5" max="5" width="43.5546875" style="8" customWidth="1"/>
    <col min="6" max="16384" width="8.88671875" style="8"/>
  </cols>
  <sheetData>
    <row r="1" spans="1:5" x14ac:dyDescent="0.3">
      <c r="A1" s="7" t="s">
        <v>21</v>
      </c>
      <c r="B1" s="7" t="s">
        <v>22</v>
      </c>
      <c r="C1" s="7" t="s">
        <v>27</v>
      </c>
      <c r="D1" s="7" t="s">
        <v>32</v>
      </c>
      <c r="E1" s="7" t="s">
        <v>23</v>
      </c>
    </row>
    <row r="2" spans="1:5" ht="46.8" customHeight="1" x14ac:dyDescent="0.3">
      <c r="A2" s="9">
        <v>46038</v>
      </c>
      <c r="B2" s="8" t="s">
        <v>20</v>
      </c>
      <c r="C2" s="8" t="s">
        <v>30</v>
      </c>
      <c r="D2" s="8" t="b">
        <v>1</v>
      </c>
      <c r="E2" s="8" t="s">
        <v>28</v>
      </c>
    </row>
    <row r="3" spans="1:5" ht="46.8" customHeight="1" x14ac:dyDescent="0.3">
      <c r="A3" s="9">
        <v>46038</v>
      </c>
      <c r="B3" s="8" t="s">
        <v>24</v>
      </c>
      <c r="C3" s="8" t="s">
        <v>30</v>
      </c>
      <c r="D3" s="8" t="b">
        <v>1</v>
      </c>
      <c r="E3" s="8" t="s">
        <v>28</v>
      </c>
    </row>
    <row r="4" spans="1:5" ht="46.8" customHeight="1" x14ac:dyDescent="0.3">
      <c r="A4" s="9">
        <v>46038</v>
      </c>
      <c r="B4" s="8" t="s">
        <v>24</v>
      </c>
      <c r="C4" s="8" t="s">
        <v>31</v>
      </c>
      <c r="D4" s="8" t="b">
        <v>0</v>
      </c>
      <c r="E4" s="8" t="s">
        <v>33</v>
      </c>
    </row>
    <row r="5" spans="1:5" ht="46.8" customHeight="1" x14ac:dyDescent="0.3">
      <c r="A5" s="9">
        <v>46038</v>
      </c>
      <c r="B5" s="8" t="s">
        <v>25</v>
      </c>
      <c r="C5" s="8" t="s">
        <v>30</v>
      </c>
      <c r="D5" s="8" t="b">
        <v>1</v>
      </c>
      <c r="E5" s="8" t="s">
        <v>28</v>
      </c>
    </row>
    <row r="6" spans="1:5" ht="46.8" customHeight="1" x14ac:dyDescent="0.3">
      <c r="A6" s="9">
        <v>46038</v>
      </c>
      <c r="B6" s="8" t="s">
        <v>26</v>
      </c>
      <c r="C6" s="8" t="s">
        <v>30</v>
      </c>
      <c r="D6" s="8" t="b">
        <v>1</v>
      </c>
      <c r="E6" s="8" t="s">
        <v>28</v>
      </c>
    </row>
    <row r="7" spans="1:5" ht="46.8" customHeight="1" x14ac:dyDescent="0.3"/>
    <row r="8" spans="1:5" ht="46.8" customHeight="1" x14ac:dyDescent="0.3"/>
    <row r="9" spans="1:5" ht="46.8" customHeight="1" x14ac:dyDescent="0.3"/>
    <row r="10" spans="1:5" ht="46.8" customHeight="1" x14ac:dyDescent="0.3"/>
    <row r="11" spans="1:5" ht="46.8" customHeight="1" x14ac:dyDescent="0.3"/>
    <row r="12" spans="1:5" ht="46.8" customHeight="1" x14ac:dyDescent="0.3"/>
    <row r="13" spans="1:5" ht="46.8" customHeight="1" x14ac:dyDescent="0.3"/>
    <row r="14" spans="1:5" ht="46.8" customHeight="1" x14ac:dyDescent="0.3"/>
    <row r="15" spans="1:5" ht="46.8" customHeight="1" x14ac:dyDescent="0.3"/>
    <row r="16" spans="1:5" ht="46.8" customHeight="1" x14ac:dyDescent="0.3"/>
    <row r="17" ht="46.8" customHeight="1" x14ac:dyDescent="0.3"/>
    <row r="18" ht="46.8" customHeight="1" x14ac:dyDescent="0.3"/>
    <row r="19" ht="46.8" customHeight="1" x14ac:dyDescent="0.3"/>
    <row r="20" ht="46.8" customHeight="1" x14ac:dyDescent="0.3"/>
    <row r="21" ht="46.8" customHeight="1" x14ac:dyDescent="0.3"/>
    <row r="22" ht="46.8" customHeight="1" x14ac:dyDescent="0.3"/>
    <row r="23" ht="46.8" customHeight="1" x14ac:dyDescent="0.3"/>
    <row r="24" ht="46.8" customHeight="1" x14ac:dyDescent="0.3"/>
    <row r="25" ht="46.8" customHeight="1" x14ac:dyDescent="0.3"/>
    <row r="26" ht="46.8" customHeight="1" x14ac:dyDescent="0.3"/>
    <row r="27" ht="46.8" customHeight="1" x14ac:dyDescent="0.3"/>
    <row r="28" ht="46.8" customHeight="1" x14ac:dyDescent="0.3"/>
    <row r="29" ht="46.8" customHeight="1" x14ac:dyDescent="0.3"/>
    <row r="30" ht="46.8" customHeight="1" x14ac:dyDescent="0.3"/>
    <row r="31" ht="46.8" customHeight="1" x14ac:dyDescent="0.3"/>
    <row r="32" ht="46.8" customHeight="1" x14ac:dyDescent="0.3"/>
    <row r="33" ht="46.8" customHeight="1" x14ac:dyDescent="0.3"/>
    <row r="34" ht="46.8" customHeight="1" x14ac:dyDescent="0.3"/>
    <row r="35" ht="46.8" customHeight="1" x14ac:dyDescent="0.3"/>
    <row r="36" ht="46.8" customHeight="1" x14ac:dyDescent="0.3"/>
    <row r="37" ht="46.8" customHeight="1" x14ac:dyDescent="0.3"/>
    <row r="38" ht="46.8" customHeight="1" x14ac:dyDescent="0.3"/>
    <row r="39" ht="46.8" customHeight="1" x14ac:dyDescent="0.3"/>
    <row r="40" ht="46.8" customHeight="1" x14ac:dyDescent="0.3"/>
    <row r="41" ht="46.8" customHeight="1" x14ac:dyDescent="0.3"/>
    <row r="42" ht="46.8" customHeight="1" x14ac:dyDescent="0.3"/>
    <row r="43" ht="46.8" customHeight="1" x14ac:dyDescent="0.3"/>
    <row r="44" ht="46.8" customHeight="1" x14ac:dyDescent="0.3"/>
    <row r="45" ht="46.8" customHeight="1" x14ac:dyDescent="0.3"/>
    <row r="46" ht="46.8" customHeight="1" x14ac:dyDescent="0.3"/>
    <row r="47" ht="46.8" customHeight="1" x14ac:dyDescent="0.3"/>
    <row r="48" ht="46.8" customHeight="1" x14ac:dyDescent="0.3"/>
    <row r="49" ht="46.8" customHeight="1" x14ac:dyDescent="0.3"/>
    <row r="50" ht="46.8" customHeight="1" x14ac:dyDescent="0.3"/>
    <row r="51" ht="46.8" customHeight="1" x14ac:dyDescent="0.3"/>
    <row r="52" ht="46.8" customHeight="1" x14ac:dyDescent="0.3"/>
    <row r="53" ht="46.8" customHeight="1" x14ac:dyDescent="0.3"/>
    <row r="54" ht="46.8" customHeight="1" x14ac:dyDescent="0.3"/>
    <row r="55" ht="46.8" customHeight="1" x14ac:dyDescent="0.3"/>
    <row r="56" ht="46.8" customHeight="1" x14ac:dyDescent="0.3"/>
    <row r="57" ht="46.8" customHeight="1" x14ac:dyDescent="0.3"/>
    <row r="58" ht="46.8" customHeight="1" x14ac:dyDescent="0.3"/>
    <row r="59" ht="46.8" customHeight="1" x14ac:dyDescent="0.3"/>
    <row r="60" ht="46.8" customHeight="1" x14ac:dyDescent="0.3"/>
    <row r="61" ht="46.8" customHeight="1" x14ac:dyDescent="0.3"/>
    <row r="62" ht="46.8" customHeight="1" x14ac:dyDescent="0.3"/>
    <row r="63" ht="46.8" customHeight="1" x14ac:dyDescent="0.3"/>
    <row r="64" ht="46.8" customHeight="1" x14ac:dyDescent="0.3"/>
    <row r="65" ht="46.8" customHeight="1" x14ac:dyDescent="0.3"/>
    <row r="66" ht="46.8" customHeight="1" x14ac:dyDescent="0.3"/>
    <row r="67" ht="46.8" customHeight="1" x14ac:dyDescent="0.3"/>
    <row r="68" ht="46.8" customHeight="1" x14ac:dyDescent="0.3"/>
    <row r="69" ht="46.8" customHeight="1" x14ac:dyDescent="0.3"/>
    <row r="70" ht="46.8" customHeight="1" x14ac:dyDescent="0.3"/>
    <row r="71" ht="46.8" customHeight="1" x14ac:dyDescent="0.3"/>
    <row r="72" ht="46.8" customHeight="1" x14ac:dyDescent="0.3"/>
    <row r="73" ht="46.8" customHeight="1" x14ac:dyDescent="0.3"/>
    <row r="74" ht="46.8" customHeight="1" x14ac:dyDescent="0.3"/>
    <row r="75" ht="46.8" customHeight="1" x14ac:dyDescent="0.3"/>
    <row r="76" ht="46.8" customHeight="1" x14ac:dyDescent="0.3"/>
    <row r="77" ht="46.8" customHeight="1" x14ac:dyDescent="0.3"/>
    <row r="78" ht="46.8" customHeight="1" x14ac:dyDescent="0.3"/>
    <row r="79" ht="46.8" customHeight="1" x14ac:dyDescent="0.3"/>
    <row r="80" ht="46.8" customHeight="1" x14ac:dyDescent="0.3"/>
    <row r="81" ht="46.8" customHeight="1" x14ac:dyDescent="0.3"/>
    <row r="82" ht="46.8" customHeight="1" x14ac:dyDescent="0.3"/>
    <row r="83" ht="46.8" customHeight="1" x14ac:dyDescent="0.3"/>
    <row r="84" ht="46.8" customHeight="1" x14ac:dyDescent="0.3"/>
    <row r="85" ht="46.8" customHeight="1" x14ac:dyDescent="0.3"/>
    <row r="86" ht="46.8" customHeight="1" x14ac:dyDescent="0.3"/>
    <row r="87" ht="46.8" customHeight="1" x14ac:dyDescent="0.3"/>
    <row r="88" ht="46.8" customHeight="1" x14ac:dyDescent="0.3"/>
    <row r="89" ht="46.8" customHeight="1" x14ac:dyDescent="0.3"/>
    <row r="90" ht="46.8" customHeight="1" x14ac:dyDescent="0.3"/>
    <row r="91" ht="46.8" customHeight="1" x14ac:dyDescent="0.3"/>
    <row r="92" ht="46.8" customHeight="1" x14ac:dyDescent="0.3"/>
    <row r="93" ht="46.8" customHeight="1" x14ac:dyDescent="0.3"/>
    <row r="94" ht="46.8" customHeight="1" x14ac:dyDescent="0.3"/>
    <row r="95" ht="46.8" customHeight="1" x14ac:dyDescent="0.3"/>
    <row r="96" ht="46.8" customHeight="1" x14ac:dyDescent="0.3"/>
    <row r="97" ht="46.8" customHeight="1" x14ac:dyDescent="0.3"/>
    <row r="98" ht="46.8" customHeight="1" x14ac:dyDescent="0.3"/>
    <row r="99" ht="46.8" customHeight="1" x14ac:dyDescent="0.3"/>
    <row r="100" ht="46.8" customHeight="1" x14ac:dyDescent="0.3"/>
    <row r="101" ht="46.8" customHeight="1" x14ac:dyDescent="0.3"/>
    <row r="102" ht="46.8" customHeight="1" x14ac:dyDescent="0.3"/>
    <row r="103" ht="46.8" customHeight="1" x14ac:dyDescent="0.3"/>
    <row r="104" ht="46.8" customHeight="1" x14ac:dyDescent="0.3"/>
    <row r="105" ht="46.8" customHeight="1" x14ac:dyDescent="0.3"/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data_from_identifier</vt:lpstr>
      <vt:lpstr>Quantlib_example</vt:lpstr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Antonio Alatorre Sanchez</dc:creator>
  <cp:lastModifiedBy>Ameer Usman Ali Khan</cp:lastModifiedBy>
  <dcterms:created xsi:type="dcterms:W3CDTF">2025-12-22T16:03:11Z</dcterms:created>
  <dcterms:modified xsi:type="dcterms:W3CDTF">2026-01-19T15:19:07Z</dcterms:modified>
</cp:coreProperties>
</file>