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pwork\msms_xloil\uv_test\ms-excel-win\examples\"/>
    </mc:Choice>
  </mc:AlternateContent>
  <xr:revisionPtr revIDLastSave="0" documentId="13_ncr:1_{D8609BEF-67D9-4502-96E6-4BB6D22BB020}" xr6:coauthVersionLast="47" xr6:coauthVersionMax="47" xr10:uidLastSave="{00000000-0000-0000-0000-000000000000}"/>
  <bookViews>
    <workbookView xWindow="-108" yWindow="-108" windowWidth="23256" windowHeight="13176" xr2:uid="{3A9BCFE7-D97F-4DB8-8393-A5035DFE7468}"/>
  </bookViews>
  <sheets>
    <sheet name="data_from_identifier" sheetId="1" r:id="rId1"/>
    <sheet name="Quantlib_example" sheetId="2" r:id="rId2"/>
    <sheet name="CheckList" sheetId="4" r:id="rId3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1" l="1"/>
  <c r="C17" i="1"/>
  <c r="D7" i="2"/>
  <c r="D8" i="2" s="1"/>
  <c r="C11" i="1"/>
  <c r="D11" i="1" s="1"/>
  <c r="B5" i="1" a="1"/>
  <c r="K9" i="2"/>
  <c r="H10" i="2" a="1"/>
  <c r="K10" i="2" a="1"/>
  <c r="B18" i="1" a="1"/>
  <c r="H12" i="1" a="1"/>
  <c r="D43" i="1"/>
  <c r="D17" i="1"/>
  <c r="H9" i="2"/>
  <c r="D171" i="2" a="1"/>
  <c r="B3" i="1"/>
  <c r="B44" i="1" a="1"/>
  <c r="D30" i="2" a="1"/>
  <c r="B5" i="1" l="1"/>
  <c r="B45" i="1"/>
  <c r="B53" i="1"/>
  <c r="C55" i="1"/>
  <c r="C45" i="1"/>
  <c r="C53" i="1"/>
  <c r="B46" i="1"/>
  <c r="B54" i="1"/>
  <c r="C46" i="1"/>
  <c r="C54" i="1"/>
  <c r="B47" i="1"/>
  <c r="B55" i="1"/>
  <c r="C47" i="1"/>
  <c r="B52" i="1"/>
  <c r="C52" i="1"/>
  <c r="B56" i="1"/>
  <c r="B57" i="1"/>
  <c r="B58" i="1"/>
  <c r="C58" i="1"/>
  <c r="C56" i="1"/>
  <c r="C57" i="1"/>
  <c r="B44" i="1"/>
  <c r="C44" i="1"/>
  <c r="C49" i="1"/>
  <c r="C60" i="1"/>
  <c r="B50" i="1"/>
  <c r="C50" i="1"/>
  <c r="C59" i="1"/>
  <c r="B60" i="1"/>
  <c r="B48" i="1"/>
  <c r="B59" i="1"/>
  <c r="C51" i="1"/>
  <c r="C48" i="1"/>
  <c r="B49" i="1"/>
  <c r="B51" i="1"/>
  <c r="B25" i="1"/>
  <c r="B33" i="1"/>
  <c r="B26" i="1"/>
  <c r="C25" i="1"/>
  <c r="C33" i="1"/>
  <c r="B18" i="1"/>
  <c r="B34" i="1"/>
  <c r="C27" i="1"/>
  <c r="C35" i="1"/>
  <c r="C18" i="1"/>
  <c r="C26" i="1"/>
  <c r="C34" i="1"/>
  <c r="B19" i="1"/>
  <c r="B27" i="1"/>
  <c r="B35" i="1"/>
  <c r="C19" i="1"/>
  <c r="C21" i="1"/>
  <c r="C32" i="1"/>
  <c r="B37" i="1"/>
  <c r="C23" i="1"/>
  <c r="B24" i="1"/>
  <c r="C38" i="1"/>
  <c r="B39" i="1"/>
  <c r="B22" i="1"/>
  <c r="B36" i="1"/>
  <c r="C24" i="1"/>
  <c r="B28" i="1"/>
  <c r="C22" i="1"/>
  <c r="C36" i="1"/>
  <c r="B23" i="1"/>
  <c r="C37" i="1"/>
  <c r="B38" i="1"/>
  <c r="B30" i="1"/>
  <c r="C30" i="1"/>
  <c r="B20" i="1"/>
  <c r="B31" i="1"/>
  <c r="B29" i="1"/>
  <c r="C39" i="1"/>
  <c r="C20" i="1"/>
  <c r="C29" i="1"/>
  <c r="C28" i="1"/>
  <c r="B21" i="1"/>
  <c r="C31" i="1"/>
  <c r="B32" i="1"/>
  <c r="K11" i="2"/>
  <c r="K19" i="2"/>
  <c r="K15" i="2"/>
  <c r="L23" i="2"/>
  <c r="L15" i="2"/>
  <c r="K24" i="2"/>
  <c r="K13" i="2"/>
  <c r="L22" i="2"/>
  <c r="L13" i="2"/>
  <c r="K23" i="2"/>
  <c r="K14" i="2"/>
  <c r="L24" i="2"/>
  <c r="L10" i="2"/>
  <c r="K22" i="2"/>
  <c r="L11" i="2"/>
  <c r="K12" i="2"/>
  <c r="L12" i="2"/>
  <c r="L14" i="2"/>
  <c r="K16" i="2"/>
  <c r="K10" i="2"/>
  <c r="L16" i="2"/>
  <c r="K17" i="2"/>
  <c r="L17" i="2"/>
  <c r="K18" i="2"/>
  <c r="L19" i="2"/>
  <c r="L21" i="2"/>
  <c r="K21" i="2"/>
  <c r="L18" i="2"/>
  <c r="K20" i="2"/>
  <c r="L20" i="2"/>
  <c r="F174" i="2"/>
  <c r="D180" i="2"/>
  <c r="E185" i="2"/>
  <c r="F190" i="2"/>
  <c r="D196" i="2"/>
  <c r="E201" i="2"/>
  <c r="F206" i="2"/>
  <c r="D212" i="2"/>
  <c r="E217" i="2"/>
  <c r="F222" i="2"/>
  <c r="D228" i="2"/>
  <c r="E233" i="2"/>
  <c r="F238" i="2"/>
  <c r="D244" i="2"/>
  <c r="E249" i="2"/>
  <c r="F254" i="2"/>
  <c r="D260" i="2"/>
  <c r="E265" i="2"/>
  <c r="F270" i="2"/>
  <c r="D276" i="2"/>
  <c r="E281" i="2"/>
  <c r="F286" i="2"/>
  <c r="D292" i="2"/>
  <c r="E297" i="2"/>
  <c r="F302" i="2"/>
  <c r="D308" i="2"/>
  <c r="E313" i="2"/>
  <c r="F318" i="2"/>
  <c r="D324" i="2"/>
  <c r="E329" i="2"/>
  <c r="F334" i="2"/>
  <c r="D175" i="2"/>
  <c r="E180" i="2"/>
  <c r="F185" i="2"/>
  <c r="D191" i="2"/>
  <c r="E196" i="2"/>
  <c r="F201" i="2"/>
  <c r="D207" i="2"/>
  <c r="E212" i="2"/>
  <c r="F217" i="2"/>
  <c r="D223" i="2"/>
  <c r="E228" i="2"/>
  <c r="F233" i="2"/>
  <c r="D239" i="2"/>
  <c r="E244" i="2"/>
  <c r="F249" i="2"/>
  <c r="E175" i="2"/>
  <c r="F180" i="2"/>
  <c r="D186" i="2"/>
  <c r="E191" i="2"/>
  <c r="F196" i="2"/>
  <c r="D202" i="2"/>
  <c r="E207" i="2"/>
  <c r="F212" i="2"/>
  <c r="D218" i="2"/>
  <c r="E223" i="2"/>
  <c r="F228" i="2"/>
  <c r="D234" i="2"/>
  <c r="E239" i="2"/>
  <c r="F244" i="2"/>
  <c r="D250" i="2"/>
  <c r="E255" i="2"/>
  <c r="F260" i="2"/>
  <c r="D266" i="2"/>
  <c r="E271" i="2"/>
  <c r="F276" i="2"/>
  <c r="D282" i="2"/>
  <c r="E287" i="2"/>
  <c r="F292" i="2"/>
  <c r="D298" i="2"/>
  <c r="E303" i="2"/>
  <c r="F308" i="2"/>
  <c r="D314" i="2"/>
  <c r="E319" i="2"/>
  <c r="F324" i="2"/>
  <c r="D330" i="2"/>
  <c r="E335" i="2"/>
  <c r="F340" i="2"/>
  <c r="D346" i="2"/>
  <c r="E351" i="2"/>
  <c r="F356" i="2"/>
  <c r="D362" i="2"/>
  <c r="E367" i="2"/>
  <c r="F372" i="2"/>
  <c r="D378" i="2"/>
  <c r="E383" i="2"/>
  <c r="F388" i="2"/>
  <c r="D394" i="2"/>
  <c r="E399" i="2"/>
  <c r="F404" i="2"/>
  <c r="D410" i="2"/>
  <c r="E415" i="2"/>
  <c r="F420" i="2"/>
  <c r="D426" i="2"/>
  <c r="E431" i="2"/>
  <c r="F436" i="2"/>
  <c r="E172" i="2"/>
  <c r="F178" i="2"/>
  <c r="D185" i="2"/>
  <c r="E192" i="2"/>
  <c r="F198" i="2"/>
  <c r="D205" i="2"/>
  <c r="E211" i="2"/>
  <c r="F218" i="2"/>
  <c r="D225" i="2"/>
  <c r="E231" i="2"/>
  <c r="F237" i="2"/>
  <c r="D245" i="2"/>
  <c r="E251" i="2"/>
  <c r="E257" i="2"/>
  <c r="E263" i="2"/>
  <c r="E269" i="2"/>
  <c r="E275" i="2"/>
  <c r="F281" i="2"/>
  <c r="D288" i="2"/>
  <c r="D294" i="2"/>
  <c r="D300" i="2"/>
  <c r="D306" i="2"/>
  <c r="D312" i="2"/>
  <c r="D318" i="2"/>
  <c r="E324" i="2"/>
  <c r="F330" i="2"/>
  <c r="F336" i="2"/>
  <c r="E342" i="2"/>
  <c r="D348" i="2"/>
  <c r="F353" i="2"/>
  <c r="E359" i="2"/>
  <c r="D365" i="2"/>
  <c r="F370" i="2"/>
  <c r="E376" i="2"/>
  <c r="D382" i="2"/>
  <c r="F387" i="2"/>
  <c r="E393" i="2"/>
  <c r="D399" i="2"/>
  <c r="D405" i="2"/>
  <c r="F410" i="2"/>
  <c r="E416" i="2"/>
  <c r="D422" i="2"/>
  <c r="F427" i="2"/>
  <c r="E433" i="2"/>
  <c r="D439" i="2"/>
  <c r="F172" i="2"/>
  <c r="D179" i="2"/>
  <c r="E186" i="2"/>
  <c r="F192" i="2"/>
  <c r="D199" i="2"/>
  <c r="E205" i="2"/>
  <c r="F211" i="2"/>
  <c r="D219" i="2"/>
  <c r="E225" i="2"/>
  <c r="F231" i="2"/>
  <c r="D238" i="2"/>
  <c r="E245" i="2"/>
  <c r="F251" i="2"/>
  <c r="F257" i="2"/>
  <c r="F263" i="2"/>
  <c r="F269" i="2"/>
  <c r="F275" i="2"/>
  <c r="E282" i="2"/>
  <c r="E288" i="2"/>
  <c r="E294" i="2"/>
  <c r="E300" i="2"/>
  <c r="E306" i="2"/>
  <c r="E312" i="2"/>
  <c r="E318" i="2"/>
  <c r="D325" i="2"/>
  <c r="D331" i="2"/>
  <c r="D337" i="2"/>
  <c r="F342" i="2"/>
  <c r="E348" i="2"/>
  <c r="D354" i="2"/>
  <c r="F359" i="2"/>
  <c r="E365" i="2"/>
  <c r="D371" i="2"/>
  <c r="F376" i="2"/>
  <c r="E382" i="2"/>
  <c r="D388" i="2"/>
  <c r="F393" i="2"/>
  <c r="F399" i="2"/>
  <c r="E405" i="2"/>
  <c r="D411" i="2"/>
  <c r="F416" i="2"/>
  <c r="E422" i="2"/>
  <c r="D428" i="2"/>
  <c r="F433" i="2"/>
  <c r="E439" i="2"/>
  <c r="D173" i="2"/>
  <c r="E179" i="2"/>
  <c r="F186" i="2"/>
  <c r="D193" i="2"/>
  <c r="E199" i="2"/>
  <c r="F205" i="2"/>
  <c r="D213" i="2"/>
  <c r="E219" i="2"/>
  <c r="F225" i="2"/>
  <c r="D232" i="2"/>
  <c r="E238" i="2"/>
  <c r="F245" i="2"/>
  <c r="E176" i="2"/>
  <c r="F183" i="2"/>
  <c r="D192" i="2"/>
  <c r="E200" i="2"/>
  <c r="F208" i="2"/>
  <c r="D216" i="2"/>
  <c r="E224" i="2"/>
  <c r="F232" i="2"/>
  <c r="D241" i="2"/>
  <c r="E248" i="2"/>
  <c r="D256" i="2"/>
  <c r="F262" i="2"/>
  <c r="D270" i="2"/>
  <c r="E277" i="2"/>
  <c r="D284" i="2"/>
  <c r="F290" i="2"/>
  <c r="F297" i="2"/>
  <c r="F304" i="2"/>
  <c r="E311" i="2"/>
  <c r="D319" i="2"/>
  <c r="D326" i="2"/>
  <c r="F332" i="2"/>
  <c r="E339" i="2"/>
  <c r="F345" i="2"/>
  <c r="E352" i="2"/>
  <c r="F358" i="2"/>
  <c r="F365" i="2"/>
  <c r="D372" i="2"/>
  <c r="F378" i="2"/>
  <c r="D385" i="2"/>
  <c r="E391" i="2"/>
  <c r="F397" i="2"/>
  <c r="D404" i="2"/>
  <c r="E411" i="2"/>
  <c r="F417" i="2"/>
  <c r="D424" i="2"/>
  <c r="E430" i="2"/>
  <c r="D437" i="2"/>
  <c r="F176" i="2"/>
  <c r="D184" i="2"/>
  <c r="E193" i="2"/>
  <c r="F200" i="2"/>
  <c r="D209" i="2"/>
  <c r="E216" i="2"/>
  <c r="F224" i="2"/>
  <c r="D233" i="2"/>
  <c r="E241" i="2"/>
  <c r="F248" i="2"/>
  <c r="E256" i="2"/>
  <c r="D263" i="2"/>
  <c r="E270" i="2"/>
  <c r="F277" i="2"/>
  <c r="E284" i="2"/>
  <c r="D291" i="2"/>
  <c r="E298" i="2"/>
  <c r="D305" i="2"/>
  <c r="F311" i="2"/>
  <c r="F319" i="2"/>
  <c r="E326" i="2"/>
  <c r="D333" i="2"/>
  <c r="F339" i="2"/>
  <c r="E346" i="2"/>
  <c r="F352" i="2"/>
  <c r="D359" i="2"/>
  <c r="D366" i="2"/>
  <c r="E372" i="2"/>
  <c r="D379" i="2"/>
  <c r="E385" i="2"/>
  <c r="F391" i="2"/>
  <c r="D398" i="2"/>
  <c r="E404" i="2"/>
  <c r="F411" i="2"/>
  <c r="D418" i="2"/>
  <c r="E424" i="2"/>
  <c r="F430" i="2"/>
  <c r="E437" i="2"/>
  <c r="D177" i="2"/>
  <c r="E184" i="2"/>
  <c r="F193" i="2"/>
  <c r="D201" i="2"/>
  <c r="E209" i="2"/>
  <c r="F216" i="2"/>
  <c r="D226" i="2"/>
  <c r="E234" i="2"/>
  <c r="F241" i="2"/>
  <c r="D249" i="2"/>
  <c r="F256" i="2"/>
  <c r="D264" i="2"/>
  <c r="D271" i="2"/>
  <c r="D278" i="2"/>
  <c r="F284" i="2"/>
  <c r="E291" i="2"/>
  <c r="F298" i="2"/>
  <c r="E305" i="2"/>
  <c r="F312" i="2"/>
  <c r="D320" i="2"/>
  <c r="F326" i="2"/>
  <c r="E333" i="2"/>
  <c r="D340" i="2"/>
  <c r="F346" i="2"/>
  <c r="D353" i="2"/>
  <c r="D360" i="2"/>
  <c r="E366" i="2"/>
  <c r="D373" i="2"/>
  <c r="E379" i="2"/>
  <c r="F385" i="2"/>
  <c r="D392" i="2"/>
  <c r="E398" i="2"/>
  <c r="F405" i="2"/>
  <c r="D412" i="2"/>
  <c r="E418" i="2"/>
  <c r="F424" i="2"/>
  <c r="D431" i="2"/>
  <c r="F437" i="2"/>
  <c r="E177" i="2"/>
  <c r="F184" i="2"/>
  <c r="D194" i="2"/>
  <c r="E202" i="2"/>
  <c r="F209" i="2"/>
  <c r="D217" i="2"/>
  <c r="E226" i="2"/>
  <c r="F234" i="2"/>
  <c r="D242" i="2"/>
  <c r="E250" i="2"/>
  <c r="D257" i="2"/>
  <c r="E264" i="2"/>
  <c r="F271" i="2"/>
  <c r="E278" i="2"/>
  <c r="D285" i="2"/>
  <c r="F291" i="2"/>
  <c r="D299" i="2"/>
  <c r="F305" i="2"/>
  <c r="D313" i="2"/>
  <c r="E320" i="2"/>
  <c r="D327" i="2"/>
  <c r="F333" i="2"/>
  <c r="E340" i="2"/>
  <c r="D347" i="2"/>
  <c r="E353" i="2"/>
  <c r="F177" i="2"/>
  <c r="D187" i="2"/>
  <c r="E194" i="2"/>
  <c r="F202" i="2"/>
  <c r="D210" i="2"/>
  <c r="E218" i="2"/>
  <c r="F226" i="2"/>
  <c r="D235" i="2"/>
  <c r="E242" i="2"/>
  <c r="F250" i="2"/>
  <c r="D258" i="2"/>
  <c r="F264" i="2"/>
  <c r="D272" i="2"/>
  <c r="F278" i="2"/>
  <c r="E285" i="2"/>
  <c r="E292" i="2"/>
  <c r="E299" i="2"/>
  <c r="F306" i="2"/>
  <c r="F313" i="2"/>
  <c r="F320" i="2"/>
  <c r="E327" i="2"/>
  <c r="D334" i="2"/>
  <c r="D341" i="2"/>
  <c r="E173" i="2"/>
  <c r="E183" i="2"/>
  <c r="D197" i="2"/>
  <c r="D208" i="2"/>
  <c r="F220" i="2"/>
  <c r="F230" i="2"/>
  <c r="E243" i="2"/>
  <c r="D254" i="2"/>
  <c r="F265" i="2"/>
  <c r="E274" i="2"/>
  <c r="F285" i="2"/>
  <c r="E295" i="2"/>
  <c r="E304" i="2"/>
  <c r="F315" i="2"/>
  <c r="E325" i="2"/>
  <c r="D336" i="2"/>
  <c r="F344" i="2"/>
  <c r="F354" i="2"/>
  <c r="E362" i="2"/>
  <c r="F369" i="2"/>
  <c r="F377" i="2"/>
  <c r="E386" i="2"/>
  <c r="F394" i="2"/>
  <c r="D402" i="2"/>
  <c r="E409" i="2"/>
  <c r="F418" i="2"/>
  <c r="E426" i="2"/>
  <c r="E434" i="2"/>
  <c r="F173" i="2"/>
  <c r="E187" i="2"/>
  <c r="E197" i="2"/>
  <c r="E208" i="2"/>
  <c r="D221" i="2"/>
  <c r="D231" i="2"/>
  <c r="F243" i="2"/>
  <c r="E254" i="2"/>
  <c r="E266" i="2"/>
  <c r="F274" i="2"/>
  <c r="D286" i="2"/>
  <c r="F295" i="2"/>
  <c r="D307" i="2"/>
  <c r="D316" i="2"/>
  <c r="F325" i="2"/>
  <c r="E336" i="2"/>
  <c r="D345" i="2"/>
  <c r="D355" i="2"/>
  <c r="F362" i="2"/>
  <c r="D370" i="2"/>
  <c r="E378" i="2"/>
  <c r="F386" i="2"/>
  <c r="D395" i="2"/>
  <c r="E402" i="2"/>
  <c r="F409" i="2"/>
  <c r="D419" i="2"/>
  <c r="F426" i="2"/>
  <c r="F434" i="2"/>
  <c r="D174" i="2"/>
  <c r="F187" i="2"/>
  <c r="F197" i="2"/>
  <c r="E210" i="2"/>
  <c r="E221" i="2"/>
  <c r="E232" i="2"/>
  <c r="D246" i="2"/>
  <c r="D255" i="2"/>
  <c r="F266" i="2"/>
  <c r="D275" i="2"/>
  <c r="E286" i="2"/>
  <c r="D296" i="2"/>
  <c r="E307" i="2"/>
  <c r="E316" i="2"/>
  <c r="F327" i="2"/>
  <c r="E337" i="2"/>
  <c r="E345" i="2"/>
  <c r="E355" i="2"/>
  <c r="D363" i="2"/>
  <c r="E370" i="2"/>
  <c r="F379" i="2"/>
  <c r="D387" i="2"/>
  <c r="E395" i="2"/>
  <c r="F402" i="2"/>
  <c r="E410" i="2"/>
  <c r="E419" i="2"/>
  <c r="D427" i="2"/>
  <c r="D435" i="2"/>
  <c r="E174" i="2"/>
  <c r="D188" i="2"/>
  <c r="D198" i="2"/>
  <c r="F210" i="2"/>
  <c r="F221" i="2"/>
  <c r="E235" i="2"/>
  <c r="E246" i="2"/>
  <c r="F255" i="2"/>
  <c r="D267" i="2"/>
  <c r="E276" i="2"/>
  <c r="D287" i="2"/>
  <c r="E296" i="2"/>
  <c r="F307" i="2"/>
  <c r="F316" i="2"/>
  <c r="D328" i="2"/>
  <c r="F337" i="2"/>
  <c r="E347" i="2"/>
  <c r="F355" i="2"/>
  <c r="E363" i="2"/>
  <c r="E371" i="2"/>
  <c r="D380" i="2"/>
  <c r="E387" i="2"/>
  <c r="F395" i="2"/>
  <c r="D403" i="2"/>
  <c r="E412" i="2"/>
  <c r="F419" i="2"/>
  <c r="E427" i="2"/>
  <c r="E435" i="2"/>
  <c r="F175" i="2"/>
  <c r="E188" i="2"/>
  <c r="E198" i="2"/>
  <c r="D211" i="2"/>
  <c r="D222" i="2"/>
  <c r="F235" i="2"/>
  <c r="F246" i="2"/>
  <c r="E258" i="2"/>
  <c r="E267" i="2"/>
  <c r="D277" i="2"/>
  <c r="F287" i="2"/>
  <c r="F296" i="2"/>
  <c r="E308" i="2"/>
  <c r="D317" i="2"/>
  <c r="E328" i="2"/>
  <c r="D338" i="2"/>
  <c r="F347" i="2"/>
  <c r="D356" i="2"/>
  <c r="F363" i="2"/>
  <c r="F371" i="2"/>
  <c r="E380" i="2"/>
  <c r="E388" i="2"/>
  <c r="D396" i="2"/>
  <c r="E403" i="2"/>
  <c r="F412" i="2"/>
  <c r="D420" i="2"/>
  <c r="E428" i="2"/>
  <c r="F435" i="2"/>
  <c r="D176" i="2"/>
  <c r="F188" i="2"/>
  <c r="F199" i="2"/>
  <c r="E213" i="2"/>
  <c r="E222" i="2"/>
  <c r="D236" i="2"/>
  <c r="D247" i="2"/>
  <c r="F258" i="2"/>
  <c r="F267" i="2"/>
  <c r="D279" i="2"/>
  <c r="F288" i="2"/>
  <c r="D297" i="2"/>
  <c r="D309" i="2"/>
  <c r="E317" i="2"/>
  <c r="F328" i="2"/>
  <c r="E338" i="2"/>
  <c r="F348" i="2"/>
  <c r="E356" i="2"/>
  <c r="D364" i="2"/>
  <c r="E373" i="2"/>
  <c r="F380" i="2"/>
  <c r="D389" i="2"/>
  <c r="E396" i="2"/>
  <c r="F403" i="2"/>
  <c r="D413" i="2"/>
  <c r="E420" i="2"/>
  <c r="F428" i="2"/>
  <c r="D436" i="2"/>
  <c r="E182" i="2"/>
  <c r="F203" i="2"/>
  <c r="E220" i="2"/>
  <c r="D240" i="2"/>
  <c r="E259" i="2"/>
  <c r="E273" i="2"/>
  <c r="D290" i="2"/>
  <c r="D304" i="2"/>
  <c r="E322" i="2"/>
  <c r="D339" i="2"/>
  <c r="F351" i="2"/>
  <c r="D367" i="2"/>
  <c r="E377" i="2"/>
  <c r="D391" i="2"/>
  <c r="E406" i="2"/>
  <c r="D416" i="2"/>
  <c r="D430" i="2"/>
  <c r="F182" i="2"/>
  <c r="D204" i="2"/>
  <c r="F223" i="2"/>
  <c r="E240" i="2"/>
  <c r="F259" i="2"/>
  <c r="F273" i="2"/>
  <c r="E290" i="2"/>
  <c r="E309" i="2"/>
  <c r="F322" i="2"/>
  <c r="E341" i="2"/>
  <c r="D352" i="2"/>
  <c r="F367" i="2"/>
  <c r="D381" i="2"/>
  <c r="E392" i="2"/>
  <c r="F406" i="2"/>
  <c r="D417" i="2"/>
  <c r="F431" i="2"/>
  <c r="D183" i="2"/>
  <c r="E204" i="2"/>
  <c r="D224" i="2"/>
  <c r="F240" i="2"/>
  <c r="E260" i="2"/>
  <c r="D274" i="2"/>
  <c r="D293" i="2"/>
  <c r="F309" i="2"/>
  <c r="D323" i="2"/>
  <c r="F341" i="2"/>
  <c r="E354" i="2"/>
  <c r="D368" i="2"/>
  <c r="E381" i="2"/>
  <c r="F392" i="2"/>
  <c r="D407" i="2"/>
  <c r="E417" i="2"/>
  <c r="D432" i="2"/>
  <c r="D189" i="2"/>
  <c r="F204" i="2"/>
  <c r="D227" i="2"/>
  <c r="F242" i="2"/>
  <c r="D261" i="2"/>
  <c r="E279" i="2"/>
  <c r="E293" i="2"/>
  <c r="D310" i="2"/>
  <c r="E323" i="2"/>
  <c r="D342" i="2"/>
  <c r="D357" i="2"/>
  <c r="E368" i="2"/>
  <c r="F381" i="2"/>
  <c r="D393" i="2"/>
  <c r="E407" i="2"/>
  <c r="D421" i="2"/>
  <c r="E432" i="2"/>
  <c r="E189" i="2"/>
  <c r="D206" i="2"/>
  <c r="E227" i="2"/>
  <c r="D243" i="2"/>
  <c r="E261" i="2"/>
  <c r="F279" i="2"/>
  <c r="F293" i="2"/>
  <c r="E310" i="2"/>
  <c r="F323" i="2"/>
  <c r="D343" i="2"/>
  <c r="E357" i="2"/>
  <c r="F368" i="2"/>
  <c r="F382" i="2"/>
  <c r="E394" i="2"/>
  <c r="F407" i="2"/>
  <c r="E421" i="2"/>
  <c r="F432" i="2"/>
  <c r="D171" i="2"/>
  <c r="D195" i="2"/>
  <c r="D220" i="2"/>
  <c r="D252" i="2"/>
  <c r="F272" i="2"/>
  <c r="F300" i="2"/>
  <c r="E321" i="2"/>
  <c r="D344" i="2"/>
  <c r="F361" i="2"/>
  <c r="F383" i="2"/>
  <c r="F400" i="2"/>
  <c r="F421" i="2"/>
  <c r="F438" i="2"/>
  <c r="E171" i="2"/>
  <c r="E195" i="2"/>
  <c r="F227" i="2"/>
  <c r="E252" i="2"/>
  <c r="D273" i="2"/>
  <c r="D301" i="2"/>
  <c r="F321" i="2"/>
  <c r="E344" i="2"/>
  <c r="E364" i="2"/>
  <c r="D384" i="2"/>
  <c r="D401" i="2"/>
  <c r="F422" i="2"/>
  <c r="F439" i="2"/>
  <c r="F171" i="2"/>
  <c r="F195" i="2"/>
  <c r="D229" i="2"/>
  <c r="F252" i="2"/>
  <c r="D280" i="2"/>
  <c r="E301" i="2"/>
  <c r="D322" i="2"/>
  <c r="D349" i="2"/>
  <c r="F364" i="2"/>
  <c r="E384" i="2"/>
  <c r="E401" i="2"/>
  <c r="D423" i="2"/>
  <c r="D440" i="2"/>
  <c r="D172" i="2"/>
  <c r="D200" i="2"/>
  <c r="E229" i="2"/>
  <c r="D253" i="2"/>
  <c r="E280" i="2"/>
  <c r="F301" i="2"/>
  <c r="D329" i="2"/>
  <c r="E349" i="2"/>
  <c r="F366" i="2"/>
  <c r="F384" i="2"/>
  <c r="F401" i="2"/>
  <c r="E423" i="2"/>
  <c r="E440" i="2"/>
  <c r="D178" i="2"/>
  <c r="D203" i="2"/>
  <c r="F229" i="2"/>
  <c r="E253" i="2"/>
  <c r="F280" i="2"/>
  <c r="D302" i="2"/>
  <c r="F329" i="2"/>
  <c r="F349" i="2"/>
  <c r="D369" i="2"/>
  <c r="D386" i="2"/>
  <c r="D406" i="2"/>
  <c r="F423" i="2"/>
  <c r="F440" i="2"/>
  <c r="D181" i="2"/>
  <c r="F207" i="2"/>
  <c r="E236" i="2"/>
  <c r="F261" i="2"/>
  <c r="D283" i="2"/>
  <c r="F303" i="2"/>
  <c r="F331" i="2"/>
  <c r="F350" i="2"/>
  <c r="D374" i="2"/>
  <c r="D390" i="2"/>
  <c r="F408" i="2"/>
  <c r="F425" i="2"/>
  <c r="F189" i="2"/>
  <c r="F214" i="2"/>
  <c r="F239" i="2"/>
  <c r="D268" i="2"/>
  <c r="E289" i="2"/>
  <c r="F314" i="2"/>
  <c r="D335" i="2"/>
  <c r="E358" i="2"/>
  <c r="E375" i="2"/>
  <c r="D397" i="2"/>
  <c r="D414" i="2"/>
  <c r="D433" i="2"/>
  <c r="E178" i="2"/>
  <c r="F215" i="2"/>
  <c r="E268" i="2"/>
  <c r="D311" i="2"/>
  <c r="E350" i="2"/>
  <c r="D383" i="2"/>
  <c r="F414" i="2"/>
  <c r="F179" i="2"/>
  <c r="F219" i="2"/>
  <c r="F268" i="2"/>
  <c r="E314" i="2"/>
  <c r="D351" i="2"/>
  <c r="E389" i="2"/>
  <c r="D415" i="2"/>
  <c r="E181" i="2"/>
  <c r="D230" i="2"/>
  <c r="D269" i="2"/>
  <c r="D315" i="2"/>
  <c r="F357" i="2"/>
  <c r="F389" i="2"/>
  <c r="F415" i="2"/>
  <c r="F181" i="2"/>
  <c r="E230" i="2"/>
  <c r="E272" i="2"/>
  <c r="E315" i="2"/>
  <c r="D358" i="2"/>
  <c r="E390" i="2"/>
  <c r="D425" i="2"/>
  <c r="D182" i="2"/>
  <c r="F236" i="2"/>
  <c r="D281" i="2"/>
  <c r="F317" i="2"/>
  <c r="E360" i="2"/>
  <c r="F390" i="2"/>
  <c r="E425" i="2"/>
  <c r="F194" i="2"/>
  <c r="F247" i="2"/>
  <c r="D289" i="2"/>
  <c r="D332" i="2"/>
  <c r="E369" i="2"/>
  <c r="D400" i="2"/>
  <c r="D434" i="2"/>
  <c r="F213" i="2"/>
  <c r="F253" i="2"/>
  <c r="D295" i="2"/>
  <c r="F335" i="2"/>
  <c r="F374" i="2"/>
  <c r="E408" i="2"/>
  <c r="E438" i="2"/>
  <c r="D190" i="2"/>
  <c r="E262" i="2"/>
  <c r="F338" i="2"/>
  <c r="E400" i="2"/>
  <c r="E190" i="2"/>
  <c r="D265" i="2"/>
  <c r="E343" i="2"/>
  <c r="D408" i="2"/>
  <c r="F191" i="2"/>
  <c r="F282" i="2"/>
  <c r="F343" i="2"/>
  <c r="D409" i="2"/>
  <c r="E203" i="2"/>
  <c r="E283" i="2"/>
  <c r="D350" i="2"/>
  <c r="E413" i="2"/>
  <c r="E206" i="2"/>
  <c r="F283" i="2"/>
  <c r="F360" i="2"/>
  <c r="F413" i="2"/>
  <c r="D214" i="2"/>
  <c r="F289" i="2"/>
  <c r="D361" i="2"/>
  <c r="E414" i="2"/>
  <c r="E247" i="2"/>
  <c r="D321" i="2"/>
  <c r="D376" i="2"/>
  <c r="E214" i="2"/>
  <c r="E332" i="2"/>
  <c r="D215" i="2"/>
  <c r="E334" i="2"/>
  <c r="E215" i="2"/>
  <c r="E361" i="2"/>
  <c r="D237" i="2"/>
  <c r="F373" i="2"/>
  <c r="E237" i="2"/>
  <c r="E374" i="2"/>
  <c r="D251" i="2"/>
  <c r="F375" i="2"/>
  <c r="D248" i="2"/>
  <c r="E429" i="2"/>
  <c r="D259" i="2"/>
  <c r="F429" i="2"/>
  <c r="D262" i="2"/>
  <c r="E436" i="2"/>
  <c r="F294" i="2"/>
  <c r="D438" i="2"/>
  <c r="E302" i="2"/>
  <c r="D303" i="2"/>
  <c r="F310" i="2"/>
  <c r="F299" i="2"/>
  <c r="E330" i="2"/>
  <c r="E331" i="2"/>
  <c r="D375" i="2"/>
  <c r="D377" i="2"/>
  <c r="D429" i="2"/>
  <c r="F396" i="2"/>
  <c r="E397" i="2"/>
  <c r="F398" i="2"/>
  <c r="I10" i="2"/>
  <c r="I18" i="2"/>
  <c r="I15" i="2"/>
  <c r="H24" i="2"/>
  <c r="H16" i="2"/>
  <c r="I24" i="2"/>
  <c r="I16" i="2"/>
  <c r="H17" i="2"/>
  <c r="H19" i="2"/>
  <c r="H10" i="2"/>
  <c r="H21" i="2"/>
  <c r="H11" i="2"/>
  <c r="I21" i="2"/>
  <c r="H14" i="2"/>
  <c r="I14" i="2"/>
  <c r="H15" i="2"/>
  <c r="I17" i="2"/>
  <c r="H18" i="2"/>
  <c r="I13" i="2"/>
  <c r="I19" i="2"/>
  <c r="H20" i="2"/>
  <c r="I20" i="2"/>
  <c r="H22" i="2"/>
  <c r="I23" i="2"/>
  <c r="I11" i="2"/>
  <c r="H12" i="2"/>
  <c r="I12" i="2"/>
  <c r="H13" i="2"/>
  <c r="H23" i="2"/>
  <c r="I22" i="2"/>
  <c r="D30" i="2"/>
  <c r="H12" i="1"/>
  <c r="F160" i="2"/>
  <c r="E160" i="2"/>
  <c r="D160" i="2"/>
  <c r="F159" i="2"/>
  <c r="E159" i="2"/>
  <c r="D159" i="2"/>
  <c r="F158" i="2"/>
  <c r="E158" i="2"/>
  <c r="D158" i="2"/>
  <c r="F157" i="2"/>
  <c r="E157" i="2"/>
  <c r="D157" i="2"/>
  <c r="F156" i="2"/>
  <c r="E156" i="2"/>
  <c r="D156" i="2"/>
  <c r="F155" i="2"/>
  <c r="E155" i="2"/>
  <c r="D155" i="2"/>
  <c r="F154" i="2"/>
  <c r="E154" i="2"/>
  <c r="D154" i="2"/>
  <c r="F153" i="2"/>
  <c r="E153" i="2"/>
  <c r="D153" i="2"/>
  <c r="F152" i="2"/>
  <c r="E152" i="2"/>
  <c r="D152" i="2"/>
  <c r="F151" i="2"/>
  <c r="E151" i="2"/>
  <c r="D151" i="2"/>
  <c r="F150" i="2"/>
  <c r="E150" i="2"/>
  <c r="D150" i="2"/>
  <c r="F149" i="2"/>
  <c r="E149" i="2"/>
  <c r="D149" i="2"/>
  <c r="F148" i="2"/>
  <c r="E148" i="2"/>
  <c r="D148" i="2"/>
  <c r="F147" i="2"/>
  <c r="E147" i="2"/>
  <c r="D147" i="2"/>
  <c r="F146" i="2"/>
  <c r="E146" i="2"/>
  <c r="D146" i="2"/>
  <c r="F145" i="2"/>
  <c r="E145" i="2"/>
  <c r="D145" i="2"/>
  <c r="F144" i="2"/>
  <c r="E144" i="2"/>
  <c r="D144" i="2"/>
  <c r="F143" i="2"/>
  <c r="E143" i="2"/>
  <c r="D143" i="2"/>
  <c r="F142" i="2"/>
  <c r="E142" i="2"/>
  <c r="D142" i="2"/>
  <c r="F141" i="2"/>
  <c r="E141" i="2"/>
  <c r="D141" i="2"/>
  <c r="F140" i="2"/>
  <c r="E140" i="2"/>
  <c r="D140" i="2"/>
  <c r="F139" i="2"/>
  <c r="E139" i="2"/>
  <c r="D139" i="2"/>
  <c r="F138" i="2"/>
  <c r="E138" i="2"/>
  <c r="D138" i="2"/>
  <c r="F137" i="2"/>
  <c r="E137" i="2"/>
  <c r="D137" i="2"/>
  <c r="F136" i="2"/>
  <c r="E136" i="2"/>
  <c r="D136" i="2"/>
  <c r="F135" i="2"/>
  <c r="E135" i="2"/>
  <c r="D135" i="2"/>
  <c r="F134" i="2"/>
  <c r="E134" i="2"/>
  <c r="D134" i="2"/>
  <c r="F133" i="2"/>
  <c r="E133" i="2"/>
  <c r="D133" i="2"/>
  <c r="F132" i="2"/>
  <c r="E132" i="2"/>
  <c r="D132" i="2"/>
  <c r="F131" i="2"/>
  <c r="E131" i="2"/>
  <c r="D131" i="2"/>
  <c r="F130" i="2"/>
  <c r="E130" i="2"/>
  <c r="D130" i="2"/>
  <c r="F129" i="2"/>
  <c r="E129" i="2"/>
  <c r="D129" i="2"/>
  <c r="F128" i="2"/>
  <c r="E128" i="2"/>
  <c r="D128" i="2"/>
  <c r="F127" i="2"/>
  <c r="E127" i="2"/>
  <c r="D127" i="2"/>
  <c r="F126" i="2"/>
  <c r="E126" i="2"/>
  <c r="D126" i="2"/>
  <c r="F125" i="2"/>
  <c r="E125" i="2"/>
  <c r="D125" i="2"/>
  <c r="F124" i="2"/>
  <c r="E124" i="2"/>
  <c r="D124" i="2"/>
  <c r="F123" i="2"/>
  <c r="E123" i="2"/>
  <c r="D123" i="2"/>
  <c r="F122" i="2"/>
  <c r="E122" i="2"/>
  <c r="D122" i="2"/>
  <c r="F121" i="2"/>
  <c r="E121" i="2"/>
  <c r="D121" i="2"/>
  <c r="F120" i="2"/>
  <c r="E120" i="2"/>
  <c r="D120" i="2"/>
  <c r="F119" i="2"/>
  <c r="E119" i="2"/>
  <c r="D119" i="2"/>
  <c r="F118" i="2"/>
  <c r="E118" i="2"/>
  <c r="D118" i="2"/>
  <c r="F117" i="2"/>
  <c r="E117" i="2"/>
  <c r="D117" i="2"/>
  <c r="F116" i="2"/>
  <c r="E116" i="2"/>
  <c r="D116" i="2"/>
  <c r="F115" i="2"/>
  <c r="E115" i="2"/>
  <c r="D115" i="2"/>
  <c r="F114" i="2"/>
  <c r="E114" i="2"/>
  <c r="D114" i="2"/>
  <c r="F113" i="2"/>
  <c r="E113" i="2"/>
  <c r="D113" i="2"/>
  <c r="F112" i="2"/>
  <c r="E112" i="2"/>
  <c r="D112" i="2"/>
  <c r="F111" i="2"/>
  <c r="E111" i="2"/>
  <c r="D111" i="2"/>
  <c r="F110" i="2"/>
  <c r="E110" i="2"/>
  <c r="D110" i="2"/>
  <c r="F109" i="2"/>
  <c r="E109" i="2"/>
  <c r="D109" i="2"/>
  <c r="F108" i="2"/>
  <c r="E108" i="2"/>
  <c r="D108" i="2"/>
  <c r="F107" i="2"/>
  <c r="E107" i="2"/>
  <c r="D107" i="2"/>
  <c r="F106" i="2"/>
  <c r="E106" i="2"/>
  <c r="D106" i="2"/>
  <c r="F105" i="2"/>
  <c r="E105" i="2"/>
  <c r="D105" i="2"/>
  <c r="F104" i="2"/>
  <c r="E104" i="2"/>
  <c r="D104" i="2"/>
  <c r="F103" i="2"/>
  <c r="E103" i="2"/>
  <c r="D103" i="2"/>
  <c r="F102" i="2"/>
  <c r="E102" i="2"/>
  <c r="D102" i="2"/>
  <c r="F101" i="2"/>
  <c r="E101" i="2"/>
  <c r="D101" i="2"/>
  <c r="F100" i="2"/>
  <c r="E100" i="2"/>
  <c r="D100" i="2"/>
  <c r="F99" i="2"/>
  <c r="E99" i="2"/>
  <c r="D99" i="2"/>
  <c r="F98" i="2"/>
  <c r="E98" i="2"/>
  <c r="D98" i="2"/>
  <c r="F97" i="2"/>
  <c r="E97" i="2"/>
  <c r="D97" i="2"/>
  <c r="F96" i="2"/>
  <c r="E96" i="2"/>
  <c r="D96" i="2"/>
  <c r="F95" i="2"/>
  <c r="E95" i="2"/>
  <c r="D95" i="2"/>
  <c r="F94" i="2"/>
  <c r="E94" i="2"/>
  <c r="D94" i="2"/>
  <c r="F93" i="2"/>
  <c r="E93" i="2"/>
  <c r="D93" i="2"/>
  <c r="F92" i="2"/>
  <c r="E92" i="2"/>
  <c r="D92" i="2"/>
  <c r="F91" i="2"/>
  <c r="E91" i="2"/>
  <c r="D91" i="2"/>
  <c r="F90" i="2"/>
  <c r="E90" i="2"/>
  <c r="D90" i="2"/>
  <c r="F89" i="2"/>
  <c r="E89" i="2"/>
  <c r="D89" i="2"/>
  <c r="F88" i="2"/>
  <c r="E88" i="2"/>
  <c r="D88" i="2"/>
  <c r="F87" i="2"/>
  <c r="E87" i="2"/>
  <c r="D87" i="2"/>
  <c r="F86" i="2"/>
  <c r="E86" i="2"/>
  <c r="D86" i="2"/>
  <c r="F85" i="2"/>
  <c r="E85" i="2"/>
  <c r="D85" i="2"/>
  <c r="F84" i="2"/>
  <c r="E84" i="2"/>
  <c r="D84" i="2"/>
  <c r="F83" i="2"/>
  <c r="E83" i="2"/>
  <c r="D83" i="2"/>
  <c r="F82" i="2"/>
  <c r="E82" i="2"/>
  <c r="D82" i="2"/>
  <c r="F81" i="2"/>
  <c r="E81" i="2"/>
  <c r="D81" i="2"/>
  <c r="F80" i="2"/>
  <c r="E80" i="2"/>
  <c r="D80" i="2"/>
  <c r="F79" i="2"/>
  <c r="E79" i="2"/>
  <c r="D79" i="2"/>
  <c r="F78" i="2"/>
  <c r="E78" i="2"/>
  <c r="D78" i="2"/>
  <c r="F77" i="2"/>
  <c r="E77" i="2"/>
  <c r="D77" i="2"/>
  <c r="F76" i="2"/>
  <c r="E76" i="2"/>
  <c r="D76" i="2"/>
  <c r="F75" i="2"/>
  <c r="E75" i="2"/>
  <c r="D75" i="2"/>
  <c r="F74" i="2"/>
  <c r="E74" i="2"/>
  <c r="D74" i="2"/>
  <c r="F73" i="2"/>
  <c r="E73" i="2"/>
  <c r="D73" i="2"/>
  <c r="F72" i="2"/>
  <c r="E72" i="2"/>
  <c r="D72" i="2"/>
  <c r="F71" i="2"/>
  <c r="E71" i="2"/>
  <c r="D71" i="2"/>
  <c r="F70" i="2"/>
  <c r="E70" i="2"/>
  <c r="D70" i="2"/>
  <c r="F69" i="2"/>
  <c r="E69" i="2"/>
  <c r="D69" i="2"/>
  <c r="F68" i="2"/>
  <c r="E68" i="2"/>
  <c r="D68" i="2"/>
  <c r="F67" i="2"/>
  <c r="E67" i="2"/>
  <c r="D67" i="2"/>
  <c r="F66" i="2"/>
  <c r="E66" i="2"/>
  <c r="D66" i="2"/>
  <c r="F65" i="2"/>
  <c r="E65" i="2"/>
  <c r="D65" i="2"/>
  <c r="F64" i="2"/>
  <c r="E64" i="2"/>
  <c r="D64" i="2"/>
  <c r="F63" i="2"/>
  <c r="E63" i="2"/>
  <c r="D63" i="2"/>
  <c r="F62" i="2"/>
  <c r="E62" i="2"/>
  <c r="D62" i="2"/>
  <c r="F61" i="2"/>
  <c r="E61" i="2"/>
  <c r="D61" i="2"/>
  <c r="F60" i="2"/>
  <c r="E60" i="2"/>
  <c r="D60" i="2"/>
  <c r="F59" i="2"/>
  <c r="E59" i="2"/>
  <c r="D59" i="2"/>
  <c r="F58" i="2"/>
  <c r="E58" i="2"/>
  <c r="D58" i="2"/>
  <c r="F57" i="2"/>
  <c r="E57" i="2"/>
  <c r="D57" i="2"/>
  <c r="F56" i="2"/>
  <c r="E56" i="2"/>
  <c r="D56" i="2"/>
  <c r="F55" i="2"/>
  <c r="E55" i="2"/>
  <c r="D55" i="2"/>
  <c r="F54" i="2"/>
  <c r="E54" i="2"/>
  <c r="D54" i="2"/>
  <c r="F53" i="2"/>
  <c r="E53" i="2"/>
  <c r="D53" i="2"/>
  <c r="F52" i="2"/>
  <c r="E52" i="2"/>
  <c r="D52" i="2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F45" i="2"/>
  <c r="E45" i="2"/>
  <c r="D45" i="2"/>
  <c r="F44" i="2"/>
  <c r="E44" i="2"/>
  <c r="D44" i="2"/>
  <c r="F43" i="2"/>
  <c r="E43" i="2"/>
  <c r="D43" i="2"/>
  <c r="F42" i="2"/>
  <c r="E42" i="2"/>
  <c r="D42" i="2"/>
  <c r="F41" i="2"/>
  <c r="E41" i="2"/>
  <c r="D41" i="2"/>
  <c r="F40" i="2"/>
  <c r="E40" i="2"/>
  <c r="D40" i="2"/>
  <c r="F39" i="2"/>
  <c r="E39" i="2"/>
  <c r="D39" i="2"/>
  <c r="F38" i="2"/>
  <c r="E38" i="2"/>
  <c r="D38" i="2"/>
  <c r="F37" i="2"/>
  <c r="E37" i="2"/>
  <c r="D37" i="2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E31" i="2"/>
  <c r="D31" i="2"/>
  <c r="F30" i="2"/>
  <c r="E30" i="2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71" i="2" a="1"/>
  <c r="H31" i="2" a="1"/>
  <c r="H171" i="2" l="1"/>
  <c r="I176" i="2"/>
  <c r="J181" i="2"/>
  <c r="I171" i="2"/>
  <c r="J176" i="2"/>
  <c r="H182" i="2"/>
  <c r="J171" i="2"/>
  <c r="H177" i="2"/>
  <c r="I182" i="2"/>
  <c r="H172" i="2"/>
  <c r="I178" i="2"/>
  <c r="I172" i="2"/>
  <c r="J178" i="2"/>
  <c r="J172" i="2"/>
  <c r="H179" i="2"/>
  <c r="H173" i="2"/>
  <c r="I180" i="2"/>
  <c r="I173" i="2"/>
  <c r="J180" i="2"/>
  <c r="J173" i="2"/>
  <c r="H181" i="2"/>
  <c r="H174" i="2"/>
  <c r="I181" i="2"/>
  <c r="I174" i="2"/>
  <c r="J182" i="2"/>
  <c r="J174" i="2"/>
  <c r="H175" i="2"/>
  <c r="I175" i="2"/>
  <c r="J175" i="2"/>
  <c r="H176" i="2"/>
  <c r="I177" i="2"/>
  <c r="J177" i="2"/>
  <c r="H178" i="2"/>
  <c r="I179" i="2"/>
  <c r="J179" i="2"/>
  <c r="H180" i="2"/>
  <c r="I32" i="2"/>
  <c r="I36" i="2"/>
  <c r="H35" i="2"/>
  <c r="H31" i="2"/>
  <c r="H32" i="2"/>
  <c r="I38" i="2"/>
  <c r="H38" i="2"/>
  <c r="I37" i="2"/>
  <c r="H37" i="2"/>
  <c r="H36" i="2"/>
  <c r="I34" i="2"/>
  <c r="H34" i="2"/>
  <c r="I33" i="2"/>
  <c r="H33" i="2"/>
  <c r="I31" i="2"/>
  <c r="I35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<sst xmlns="http://schemas.openxmlformats.org/spreadsheetml/2006/main" count="44" uniqueCount="34">
  <si>
    <t>node_identifier</t>
  </si>
  <si>
    <t>algoseek_daily_ohlc_DEMO</t>
  </si>
  <si>
    <t>unique_indetifier_list</t>
  </si>
  <si>
    <t>start_date</t>
  </si>
  <si>
    <t>end_date</t>
  </si>
  <si>
    <t>BBG000BS7KS3</t>
  </si>
  <si>
    <t>BBG000BY29C7</t>
  </si>
  <si>
    <t xml:space="preserve">
</t>
  </si>
  <si>
    <t>curve_table_id</t>
  </si>
  <si>
    <t>discount_curves</t>
  </si>
  <si>
    <t>90_CBPF_48</t>
  </si>
  <si>
    <t>90_CDMXCB_19</t>
  </si>
  <si>
    <t>Get asset information</t>
  </si>
  <si>
    <t>Zero Curves</t>
  </si>
  <si>
    <t>date_start</t>
  </si>
  <si>
    <t>date_end</t>
  </si>
  <si>
    <t>Querying Assets</t>
  </si>
  <si>
    <t>Quering curves</t>
  </si>
  <si>
    <t xml:space="preserve">Decompressing curve. </t>
  </si>
  <si>
    <t>MS.GET_DATA_NODE(C8,C11,D11,B11:B12)</t>
  </si>
  <si>
    <t>MS.GET_ASSET</t>
  </si>
  <si>
    <t>Date</t>
  </si>
  <si>
    <t>Function</t>
  </si>
  <si>
    <t>Comment</t>
  </si>
  <si>
    <t>MS.GET_DATA_NODE</t>
  </si>
  <si>
    <t>MS.GET_ASSET_FIELD</t>
  </si>
  <si>
    <t>MS.DECOMPRESS_CURVE</t>
  </si>
  <si>
    <t>Variant</t>
  </si>
  <si>
    <t>Working</t>
  </si>
  <si>
    <t>GET_ASSET_FIELD</t>
  </si>
  <si>
    <t>Single</t>
  </si>
  <si>
    <t>List</t>
  </si>
  <si>
    <t>Working State</t>
  </si>
  <si>
    <t>Empty list being returned on sending multiple identifiers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</si>
</sst>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CCCCCC"/>
      <name val="Consolas"/>
      <family val="3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1"/>
    <xf numFmtId="164" fontId="1" fillId="2" borderId="1" xfId="1" applyNumberForma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5" fontId="0" fillId="0" borderId="0" xfId="0" applyNumberFormat="1" applyAlignment="1">
      <alignment horizontal="left" vertical="center" wrapText="1"/>
    </xf>
  </cellXfs>
  <cellStyles count="2">
    <cellStyle name="Input" xfId="1" builtinId="20"/>
    <cellStyle name="Normal" xfId="0" builtinId="0"/>
  </cellStyles>
  <dxfs count="7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/mmm/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1C32C-C3AD-48B1-A916-00E85C849A46}" name="Table1" displayName="Table1" ref="A1:E6" totalsRowShown="0" headerRowDxfId="6" dataDxfId="5">
  <autoFilter ref="A1:E6" xr:uid="{7BF1C32C-C3AD-48B1-A916-00E85C849A46}"/>
  <tableColumns count="5">
    <tableColumn id="1" xr3:uid="{9BF8D51A-A607-406F-950D-BEA8C8CB749B}" name="Date" dataDxfId="4"/>
    <tableColumn id="2" xr3:uid="{9573CA0B-44D5-4BDA-9188-89DEDF5945F5}" name="Function" dataDxfId="3"/>
    <tableColumn id="3" xr3:uid="{38743110-3290-47B8-94D3-D3D8F3716358}" name="Variant" dataDxfId="2"/>
    <tableColumn id="4" xr3:uid="{47F46CFB-E906-4177-9E7E-78A384633100}" name="Working State" dataDxfId="1"/>
    <tableColumn id="5" xr3:uid="{FB3EFDBB-826B-4163-8901-DC843A9F4507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AD8C-0881-43D2-8B06-DFBB5DEC5206}">
  <dimension ref="B3:AL260"/>
  <sheetViews>
    <sheetView tabSelected="1" topLeftCell="A16" workbookViewId="0">
      <selection activeCell="C19" sqref="C19"/>
    </sheetView>
  </sheetViews>
  <sheetFormatPr defaultRowHeight="14.4" x14ac:dyDescent="0.3"/>
  <cols>
    <col min="2" max="2" width="21.109375" customWidth="1"/>
    <col min="3" max="3" width="25.33203125" bestFit="1" customWidth="1"/>
    <col min="8" max="8" width="23.109375" bestFit="1" customWidth="1"/>
    <col min="9" max="9" width="11.33203125" customWidth="1"/>
  </cols>
  <sheetData>
    <row r="3" spans="2:38" x14ac:dyDescent="0.3">
      <c r="B3" t="str">
        <f>_xll.MS.SHOW_ENDPOINT()</f>
        <v>Backend: https://main-sequence.app</v>
      </c>
    </row>
    <row r="4" spans="2:38" ht="28.8" x14ac:dyDescent="0.3">
      <c r="B4" s="1" t="s">
        <v>7</v>
      </c>
    </row>
    <row r="5" spans="2:38" x14ac:dyDescent="0.3">
      <c r="B5" t="str" cm="1">
        <f t="array" ref="B5">_xll.MS.MODULE_PATH()</f>
        <v>D:\Upwork\msms_xloil\uv_test\ms-excel-win\src\ms_excel_win\ms_excel_wrappers.py</v>
      </c>
    </row>
    <row r="8" spans="2:38" x14ac:dyDescent="0.3">
      <c r="B8" t="s">
        <v>0</v>
      </c>
      <c r="C8" s="2" t="s">
        <v>1</v>
      </c>
    </row>
    <row r="10" spans="2:38" x14ac:dyDescent="0.3">
      <c r="B10" t="s">
        <v>2</v>
      </c>
      <c r="C10" t="s">
        <v>3</v>
      </c>
      <c r="D10" t="s">
        <v>4</v>
      </c>
      <c r="H10" t="s">
        <v>19</v>
      </c>
    </row>
    <row r="11" spans="2:38" x14ac:dyDescent="0.3">
      <c r="B11" s="2" t="s">
        <v>5</v>
      </c>
      <c r="C11" s="3">
        <f>DATE(2022,1,1)</f>
        <v>44562</v>
      </c>
      <c r="D11" s="3">
        <f>C11+365</f>
        <v>44927</v>
      </c>
    </row>
    <row r="12" spans="2:38" x14ac:dyDescent="0.3">
      <c r="B12" s="2" t="s">
        <v>6</v>
      </c>
      <c r="H12" t="str" cm="1">
        <f t="array" ref="H12:AL260">_xll.MS.GET_DATA_NODE(C8,C11,D11,B11:B12)</f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 spans="2:38" x14ac:dyDescent="0.3"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 spans="2:38" x14ac:dyDescent="0.3"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 spans="2:38" x14ac:dyDescent="0.3">
      <c r="B15" t="s">
        <v>29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 spans="2:38" x14ac:dyDescent="0.3"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 spans="2:38" x14ac:dyDescent="0.3">
      <c r="B17" s="6" t="s">
        <v>12</v>
      </c>
      <c r="C17" s="6" t="str">
        <f>B11</f>
        <v>BBG000BS7KS3</v>
      </c>
      <c r="D17" t="str">
        <f>_xll.MS.GET_ASSET_FIELD(C17,"current_snapshot.ticker")</f>
        <v>TAP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 spans="2:38" x14ac:dyDescent="0.3">
      <c r="B18" t="str">
        <f t="array" ref="B18:C39">_xll.MS.GET_ASSET(C17)</f>
        <v>field</v>
      </c>
      <c r="C18" t="str">
        <v>value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 spans="2:38" x14ac:dyDescent="0.3">
      <c r="B19" t="str">
        <v>orm_class</v>
      </c>
      <c r="C19" t="str">
        <v>Asset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 spans="2:38" x14ac:dyDescent="0.3">
      <c r="B20" t="str">
        <v>id</v>
      </c>
      <c r="C20">
        <v>5337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 spans="2:38" x14ac:dyDescent="0.3">
      <c r="B21" t="str">
        <v>unique_identifier</v>
      </c>
      <c r="C21" t="str">
        <v>BBG000BS7KS3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 spans="2:38" x14ac:dyDescent="0.3">
      <c r="B22" t="str">
        <v>figi</v>
      </c>
      <c r="C22" t="str">
        <v>BBG000BS7KS3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 spans="2:38" x14ac:dyDescent="0.3">
      <c r="B23" t="str">
        <v>composite</v>
      </c>
      <c r="C23" t="str">
        <v>BBG000BS7KS3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  <row r="24" spans="2:38" x14ac:dyDescent="0.3">
      <c r="B24" t="str">
        <v>share_class</v>
      </c>
      <c r="C24" t="str">
        <v>BBG001S5VQ21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</row>
    <row r="25" spans="2:38" x14ac:dyDescent="0.3">
      <c r="B25" t="str">
        <v>isin</v>
      </c>
      <c r="C25" t="e">
        <v>#N/A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</row>
    <row r="26" spans="2:38" x14ac:dyDescent="0.3">
      <c r="B26" t="str">
        <v>security_type</v>
      </c>
      <c r="C26" t="str">
        <v>Common Stock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</row>
    <row r="27" spans="2:38" x14ac:dyDescent="0.3">
      <c r="B27" t="str">
        <v>security_type_2</v>
      </c>
      <c r="C27" t="str">
        <v>Common Stock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</row>
    <row r="28" spans="2:38" x14ac:dyDescent="0.3">
      <c r="B28" t="str">
        <v>security_market_sector</v>
      </c>
      <c r="C28" t="str">
        <v>Equity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</row>
    <row r="29" spans="2:38" x14ac:dyDescent="0.3">
      <c r="B29" t="str">
        <v>is_tradable</v>
      </c>
      <c r="C29" t="b">
        <v>1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</row>
    <row r="30" spans="2:38" x14ac:dyDescent="0.3">
      <c r="B30" t="str">
        <v>is_custom_by_organization</v>
      </c>
      <c r="C30" t="b">
        <v>0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</row>
    <row r="31" spans="2:38" x14ac:dyDescent="0.3">
      <c r="B31" t="str">
        <v>current_snapshot</v>
      </c>
      <c r="C31" t="str">
        <v>{"orm_class": "AssetSnapshot", "id": null, "asset": 5337, "effective_from": "2025-08-04 00:00:00+00:00", "effective_to": null, "name": "MOLSON COORS BEVERAGE CO - B", "ticker": "TAP", "exchange_code": "US", "asset_ticker_group_id": "BBG001S5VQ21", "venue_specific_properties": null}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</row>
    <row r="32" spans="2:38" x14ac:dyDescent="0.3">
      <c r="B32" t="str">
        <v>current_pricing_detail</v>
      </c>
      <c r="C32" t="e">
        <v>#N/A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</row>
    <row r="33" spans="2:38" x14ac:dyDescent="0.3">
      <c r="B33" t="e">
        <v>#N/A</v>
      </c>
      <c r="C33" t="e">
        <v>#N/A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</row>
    <row r="34" spans="2:38" x14ac:dyDescent="0.3">
      <c r="B34" t="e">
        <v>#N/A</v>
      </c>
      <c r="C34" t="e">
        <v>#N/A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</row>
    <row r="35" spans="2:38" x14ac:dyDescent="0.3">
      <c r="B35" t="e">
        <v>#N/A</v>
      </c>
      <c r="C35" t="e">
        <v>#N/A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</row>
    <row r="36" spans="2:38" x14ac:dyDescent="0.3">
      <c r="B36" t="e">
        <v>#N/A</v>
      </c>
      <c r="C36" t="e">
        <v>#N/A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</row>
    <row r="37" spans="2:38" x14ac:dyDescent="0.3">
      <c r="B37" t="e">
        <v>#N/A</v>
      </c>
      <c r="C37" t="e">
        <v>#N/A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</row>
    <row r="38" spans="2:38" x14ac:dyDescent="0.3">
      <c r="B38" t="e">
        <v>#N/A</v>
      </c>
      <c r="C38" t="e">
        <v>#N/A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</row>
    <row r="39" spans="2:38" x14ac:dyDescent="0.3">
      <c r="B39" t="e">
        <v>#N/A</v>
      </c>
      <c r="C39" t="e">
        <v>#N/A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</row>
    <row r="40" spans="2:38" x14ac:dyDescent="0.3"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</row>
    <row r="41" spans="2:38" x14ac:dyDescent="0.3"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</row>
    <row r="42" spans="2:38" x14ac:dyDescent="0.3"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</row>
    <row r="43" spans="2:38" x14ac:dyDescent="0.3">
      <c r="B43" s="6" t="s">
        <v>12</v>
      </c>
      <c r="C43" s="6" t="str">
        <f>B11</f>
        <v>BBG000BS7KS3</v>
      </c>
      <c r="D43" t="str">
        <f>_xll.MS.GET_ASSET_FIELD(C43,"current_snapshot.ticker")</f>
        <v>TAP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</row>
    <row r="44" spans="2:38" x14ac:dyDescent="0.3">
      <c r="B44" t="str">
        <f t="array" ref="B44:C60">_xll.MS.GET_ASSET(C43)</f>
        <v>field</v>
      </c>
      <c r="C44" t="str">
        <v>value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</row>
    <row r="45" spans="2:38" x14ac:dyDescent="0.3">
      <c r="B45" t="str">
        <v>orm_class</v>
      </c>
      <c r="C45" t="str">
        <v>Asset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</row>
    <row r="46" spans="2:38" x14ac:dyDescent="0.3">
      <c r="B46" t="str">
        <v>id</v>
      </c>
      <c r="C46">
        <v>5337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</row>
    <row r="47" spans="2:38" x14ac:dyDescent="0.3">
      <c r="B47" t="str">
        <v>unique_identifier</v>
      </c>
      <c r="C47" t="str">
        <v>BBG000BS7KS3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</row>
    <row r="48" spans="2:38" x14ac:dyDescent="0.3">
      <c r="B48" t="str">
        <v>figi</v>
      </c>
      <c r="C48" t="str">
        <v>BBG000BS7KS3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</row>
    <row r="49" spans="2:38" x14ac:dyDescent="0.3">
      <c r="B49" t="str">
        <v>composite</v>
      </c>
      <c r="C49" t="str">
        <v>BBG000BS7KS3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</row>
    <row r="50" spans="2:38" x14ac:dyDescent="0.3">
      <c r="B50" t="str">
        <v>share_class</v>
      </c>
      <c r="C50" t="str">
        <v>BBG001S5VQ21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</row>
    <row r="51" spans="2:38" x14ac:dyDescent="0.3">
      <c r="B51" t="str">
        <v>isin</v>
      </c>
      <c r="C51" t="e">
        <v>#N/A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</row>
    <row r="52" spans="2:38" x14ac:dyDescent="0.3">
      <c r="B52" t="str">
        <v>security_type</v>
      </c>
      <c r="C52" t="str">
        <v>Common Stock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</row>
    <row r="53" spans="2:38" x14ac:dyDescent="0.3">
      <c r="B53" t="str">
        <v>security_type_2</v>
      </c>
      <c r="C53" t="str">
        <v>Common Stock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</row>
    <row r="54" spans="2:38" x14ac:dyDescent="0.3">
      <c r="B54" t="str">
        <v>security_market_sector</v>
      </c>
      <c r="C54" t="str">
        <v>Equity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</row>
    <row r="55" spans="2:38" x14ac:dyDescent="0.3">
      <c r="B55" t="str">
        <v>is_tradable</v>
      </c>
      <c r="C55" t="b">
        <v>1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</row>
    <row r="56" spans="2:38" x14ac:dyDescent="0.3">
      <c r="B56" t="str">
        <v>is_custom_by_organization</v>
      </c>
      <c r="C56" t="b">
        <v>0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</row>
    <row r="57" spans="2:38" x14ac:dyDescent="0.3">
      <c r="B57" t="str">
        <v>current_snapshot</v>
      </c>
      <c r="C57" t="str">
        <v>{"orm_class": "AssetSnapshot", "id": null, "asset": 5337, "effective_from": "2025-08-04 00:00:00+00:00", "effective_to": null, "name": "MOLSON COORS BEVERAGE CO - B", "ticker": "TAP", "exchange_code": "US", "asset_ticker_group_id": "BBG001S5VQ21", "venue_specific_properties": null}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</row>
    <row r="58" spans="2:38" x14ac:dyDescent="0.3">
      <c r="B58" t="str">
        <v>current_pricing_detail</v>
      </c>
      <c r="C58" t="e">
        <v>#N/A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</row>
    <row r="59" spans="2:38" x14ac:dyDescent="0.3">
      <c r="B59" t="e">
        <v>#N/A</v>
      </c>
      <c r="C59" t="e">
        <v>#N/A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</row>
    <row r="60" spans="2:38" x14ac:dyDescent="0.3">
      <c r="B60" t="e">
        <v>#N/A</v>
      </c>
      <c r="C60" t="e">
        <v>#N/A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</row>
    <row r="61" spans="2:38" x14ac:dyDescent="0.3"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</row>
    <row r="62" spans="2:38" x14ac:dyDescent="0.3"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</row>
    <row r="63" spans="2:38" x14ac:dyDescent="0.3"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</row>
    <row r="64" spans="2:38" x14ac:dyDescent="0.3"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</row>
    <row r="65" spans="8:38" x14ac:dyDescent="0.3"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</row>
    <row r="66" spans="8:38" x14ac:dyDescent="0.3"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</row>
    <row r="67" spans="8:38" x14ac:dyDescent="0.3"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</row>
    <row r="68" spans="8:38" x14ac:dyDescent="0.3"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</row>
    <row r="69" spans="8:38" x14ac:dyDescent="0.3"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</row>
    <row r="70" spans="8:38" x14ac:dyDescent="0.3"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</row>
    <row r="71" spans="8:38" x14ac:dyDescent="0.3"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</row>
    <row r="72" spans="8:38" x14ac:dyDescent="0.3"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</row>
    <row r="73" spans="8:38" x14ac:dyDescent="0.3"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</row>
    <row r="74" spans="8:38" x14ac:dyDescent="0.3"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</row>
    <row r="75" spans="8:38" x14ac:dyDescent="0.3"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</row>
    <row r="76" spans="8:38" x14ac:dyDescent="0.3"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</row>
    <row r="77" spans="8:38" x14ac:dyDescent="0.3"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</row>
    <row r="78" spans="8:38" x14ac:dyDescent="0.3"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</row>
    <row r="79" spans="8:38" x14ac:dyDescent="0.3"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</row>
    <row r="80" spans="8:38" x14ac:dyDescent="0.3"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</row>
    <row r="81" spans="8:38" x14ac:dyDescent="0.3"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</row>
    <row r="82" spans="8:38" x14ac:dyDescent="0.3"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</row>
    <row r="83" spans="8:38" x14ac:dyDescent="0.3"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</row>
    <row r="84" spans="8:38" x14ac:dyDescent="0.3"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</row>
    <row r="85" spans="8:38" x14ac:dyDescent="0.3"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</row>
    <row r="86" spans="8:38" x14ac:dyDescent="0.3"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</row>
    <row r="87" spans="8:38" x14ac:dyDescent="0.3"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</row>
    <row r="88" spans="8:38" x14ac:dyDescent="0.3"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</row>
    <row r="89" spans="8:38" x14ac:dyDescent="0.3"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</row>
    <row r="90" spans="8:38" x14ac:dyDescent="0.3"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</row>
    <row r="91" spans="8:38" x14ac:dyDescent="0.3"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</row>
    <row r="92" spans="8:38" x14ac:dyDescent="0.3"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</row>
    <row r="93" spans="8:38" x14ac:dyDescent="0.3"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</row>
    <row r="94" spans="8:38" x14ac:dyDescent="0.3"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</row>
    <row r="95" spans="8:38" x14ac:dyDescent="0.3"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</row>
    <row r="96" spans="8:38" x14ac:dyDescent="0.3"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</row>
    <row r="97" spans="8:38" x14ac:dyDescent="0.3"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</row>
    <row r="98" spans="8:38" x14ac:dyDescent="0.3"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</row>
    <row r="99" spans="8:38" x14ac:dyDescent="0.3"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</row>
    <row r="100" spans="8:38" x14ac:dyDescent="0.3"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</row>
    <row r="101" spans="8:38" x14ac:dyDescent="0.3"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</row>
    <row r="102" spans="8:38" x14ac:dyDescent="0.3"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</row>
    <row r="103" spans="8:38" x14ac:dyDescent="0.3"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</row>
    <row r="104" spans="8:38" x14ac:dyDescent="0.3"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</row>
    <row r="105" spans="8:38" x14ac:dyDescent="0.3"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</row>
    <row r="106" spans="8:38" x14ac:dyDescent="0.3"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</row>
    <row r="107" spans="8:38" x14ac:dyDescent="0.3"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</row>
    <row r="108" spans="8:38" x14ac:dyDescent="0.3"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</row>
    <row r="109" spans="8:38" x14ac:dyDescent="0.3"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</row>
    <row r="110" spans="8:38" x14ac:dyDescent="0.3"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</row>
    <row r="111" spans="8:38" x14ac:dyDescent="0.3"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</row>
    <row r="112" spans="8:38" x14ac:dyDescent="0.3"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</row>
    <row r="113" spans="8:38" x14ac:dyDescent="0.3"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</row>
    <row r="114" spans="8:38" x14ac:dyDescent="0.3"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</row>
    <row r="115" spans="8:38" x14ac:dyDescent="0.3"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</row>
    <row r="116" spans="8:38" x14ac:dyDescent="0.3"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</row>
    <row r="117" spans="8:38" x14ac:dyDescent="0.3"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</row>
    <row r="118" spans="8:38" x14ac:dyDescent="0.3"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</row>
    <row r="119" spans="8:38" x14ac:dyDescent="0.3"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</row>
    <row r="120" spans="8:38" x14ac:dyDescent="0.3"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</row>
    <row r="121" spans="8:38" x14ac:dyDescent="0.3"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</row>
    <row r="122" spans="8:38" x14ac:dyDescent="0.3"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</row>
    <row r="123" spans="8:38" x14ac:dyDescent="0.3"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</row>
    <row r="124" spans="8:38" x14ac:dyDescent="0.3"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</row>
    <row r="125" spans="8:38" x14ac:dyDescent="0.3"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</row>
    <row r="126" spans="8:38" x14ac:dyDescent="0.3"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</row>
    <row r="127" spans="8:38" x14ac:dyDescent="0.3"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</row>
    <row r="128" spans="8:38" x14ac:dyDescent="0.3"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</row>
    <row r="129" spans="8:38" x14ac:dyDescent="0.3"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</row>
    <row r="130" spans="8:38" x14ac:dyDescent="0.3"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</row>
    <row r="131" spans="8:38" x14ac:dyDescent="0.3"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</row>
    <row r="132" spans="8:38" x14ac:dyDescent="0.3"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</row>
    <row r="133" spans="8:38" x14ac:dyDescent="0.3"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</row>
    <row r="134" spans="8:38" x14ac:dyDescent="0.3"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</row>
    <row r="135" spans="8:38" x14ac:dyDescent="0.3"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</row>
    <row r="136" spans="8:38" x14ac:dyDescent="0.3"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</row>
    <row r="137" spans="8:38" x14ac:dyDescent="0.3"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</row>
    <row r="138" spans="8:38" x14ac:dyDescent="0.3"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</row>
    <row r="139" spans="8:38" x14ac:dyDescent="0.3"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</row>
    <row r="140" spans="8:38" x14ac:dyDescent="0.3"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</row>
    <row r="141" spans="8:38" x14ac:dyDescent="0.3"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</row>
    <row r="142" spans="8:38" x14ac:dyDescent="0.3"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</row>
    <row r="143" spans="8:38" x14ac:dyDescent="0.3"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</row>
    <row r="144" spans="8:38" x14ac:dyDescent="0.3"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</row>
    <row r="145" spans="8:38" x14ac:dyDescent="0.3"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</row>
    <row r="146" spans="8:38" x14ac:dyDescent="0.3"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</row>
    <row r="147" spans="8:38" x14ac:dyDescent="0.3"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</row>
    <row r="148" spans="8:38" x14ac:dyDescent="0.3"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</row>
    <row r="149" spans="8:38" x14ac:dyDescent="0.3"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</row>
    <row r="150" spans="8:38" x14ac:dyDescent="0.3"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</row>
    <row r="151" spans="8:38" x14ac:dyDescent="0.3"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</row>
    <row r="152" spans="8:38" x14ac:dyDescent="0.3"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</row>
    <row r="153" spans="8:38" x14ac:dyDescent="0.3"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</row>
    <row r="154" spans="8:38" x14ac:dyDescent="0.3"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</row>
    <row r="155" spans="8:38" x14ac:dyDescent="0.3"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</row>
    <row r="156" spans="8:38" x14ac:dyDescent="0.3"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</row>
    <row r="157" spans="8:38" x14ac:dyDescent="0.3"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</row>
    <row r="158" spans="8:38" x14ac:dyDescent="0.3"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</row>
    <row r="159" spans="8:38" x14ac:dyDescent="0.3"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</row>
    <row r="160" spans="8:38" x14ac:dyDescent="0.3"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</row>
    <row r="161" spans="8:38" x14ac:dyDescent="0.3"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</row>
    <row r="162" spans="8:38" x14ac:dyDescent="0.3"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</row>
    <row r="163" spans="8:38" x14ac:dyDescent="0.3"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</row>
    <row r="164" spans="8:38" x14ac:dyDescent="0.3"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</row>
    <row r="165" spans="8:38" x14ac:dyDescent="0.3"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</row>
    <row r="166" spans="8:38" x14ac:dyDescent="0.3"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</row>
    <row r="167" spans="8:38" x14ac:dyDescent="0.3"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</row>
    <row r="168" spans="8:38" x14ac:dyDescent="0.3"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</row>
    <row r="169" spans="8:38" x14ac:dyDescent="0.3"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</row>
    <row r="170" spans="8:38" x14ac:dyDescent="0.3"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</row>
    <row r="171" spans="8:38" x14ac:dyDescent="0.3"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</row>
    <row r="172" spans="8:38" x14ac:dyDescent="0.3"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</row>
    <row r="173" spans="8:38" x14ac:dyDescent="0.3"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</row>
    <row r="174" spans="8:38" x14ac:dyDescent="0.3"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</row>
    <row r="175" spans="8:38" x14ac:dyDescent="0.3"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</row>
    <row r="176" spans="8:38" x14ac:dyDescent="0.3"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</row>
    <row r="177" spans="8:38" x14ac:dyDescent="0.3"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</row>
    <row r="178" spans="8:38" x14ac:dyDescent="0.3"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</row>
    <row r="179" spans="8:38" x14ac:dyDescent="0.3"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</row>
    <row r="180" spans="8:38" x14ac:dyDescent="0.3"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</row>
    <row r="181" spans="8:38" x14ac:dyDescent="0.3"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</row>
    <row r="182" spans="8:38" x14ac:dyDescent="0.3"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</row>
    <row r="183" spans="8:38" x14ac:dyDescent="0.3"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</row>
    <row r="184" spans="8:38" x14ac:dyDescent="0.3"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</row>
    <row r="185" spans="8:38" x14ac:dyDescent="0.3"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</row>
    <row r="186" spans="8:38" x14ac:dyDescent="0.3"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</row>
    <row r="187" spans="8:38" x14ac:dyDescent="0.3"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</row>
    <row r="188" spans="8:38" x14ac:dyDescent="0.3"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</row>
    <row r="189" spans="8:38" x14ac:dyDescent="0.3"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</row>
    <row r="190" spans="8:38" x14ac:dyDescent="0.3"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</row>
    <row r="191" spans="8:38" x14ac:dyDescent="0.3"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</row>
    <row r="192" spans="8:38" x14ac:dyDescent="0.3"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</row>
    <row r="193" spans="8:38" x14ac:dyDescent="0.3"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</row>
    <row r="194" spans="8:38" x14ac:dyDescent="0.3"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</row>
    <row r="195" spans="8:38" x14ac:dyDescent="0.3"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</row>
    <row r="196" spans="8:38" x14ac:dyDescent="0.3"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</row>
    <row r="197" spans="8:38" x14ac:dyDescent="0.3"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</row>
    <row r="198" spans="8:38" x14ac:dyDescent="0.3"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</row>
    <row r="199" spans="8:38" x14ac:dyDescent="0.3"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</row>
    <row r="200" spans="8:38" x14ac:dyDescent="0.3"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</row>
    <row r="201" spans="8:38" x14ac:dyDescent="0.3"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</row>
    <row r="202" spans="8:38" x14ac:dyDescent="0.3"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</row>
    <row r="203" spans="8:38" x14ac:dyDescent="0.3"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</row>
    <row r="204" spans="8:38" x14ac:dyDescent="0.3"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</row>
    <row r="205" spans="8:38" x14ac:dyDescent="0.3"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</row>
    <row r="206" spans="8:38" x14ac:dyDescent="0.3"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</row>
    <row r="207" spans="8:38" x14ac:dyDescent="0.3"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</row>
    <row r="208" spans="8:38" x14ac:dyDescent="0.3"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</row>
    <row r="209" spans="8:38" x14ac:dyDescent="0.3"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</row>
    <row r="210" spans="8:38" x14ac:dyDescent="0.3"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</row>
    <row r="211" spans="8:38" x14ac:dyDescent="0.3"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</row>
    <row r="212" spans="8:38" x14ac:dyDescent="0.3"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</row>
    <row r="213" spans="8:38" x14ac:dyDescent="0.3"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</row>
    <row r="214" spans="8:38" x14ac:dyDescent="0.3"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</row>
    <row r="215" spans="8:38" x14ac:dyDescent="0.3"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</row>
    <row r="216" spans="8:38" x14ac:dyDescent="0.3"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</row>
    <row r="217" spans="8:38" x14ac:dyDescent="0.3"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</row>
    <row r="218" spans="8:38" x14ac:dyDescent="0.3"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</row>
    <row r="219" spans="8:38" x14ac:dyDescent="0.3"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</row>
    <row r="220" spans="8:38" x14ac:dyDescent="0.3"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</row>
    <row r="221" spans="8:38" x14ac:dyDescent="0.3"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</row>
    <row r="222" spans="8:38" x14ac:dyDescent="0.3"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</row>
    <row r="223" spans="8:38" x14ac:dyDescent="0.3"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</row>
    <row r="224" spans="8:38" x14ac:dyDescent="0.3"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</row>
    <row r="225" spans="8:38" x14ac:dyDescent="0.3"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</row>
    <row r="226" spans="8:38" x14ac:dyDescent="0.3"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</row>
    <row r="227" spans="8:38" x14ac:dyDescent="0.3"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</row>
    <row r="228" spans="8:38" x14ac:dyDescent="0.3"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</row>
    <row r="229" spans="8:38" x14ac:dyDescent="0.3"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</row>
    <row r="230" spans="8:38" x14ac:dyDescent="0.3"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</row>
    <row r="231" spans="8:38" x14ac:dyDescent="0.3"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</row>
    <row r="232" spans="8:38" x14ac:dyDescent="0.3"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</row>
    <row r="233" spans="8:38" x14ac:dyDescent="0.3"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</row>
    <row r="234" spans="8:38" x14ac:dyDescent="0.3"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</row>
    <row r="235" spans="8:38" x14ac:dyDescent="0.3"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</row>
    <row r="236" spans="8:38" x14ac:dyDescent="0.3"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</row>
    <row r="237" spans="8:38" x14ac:dyDescent="0.3"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</row>
    <row r="238" spans="8:38" x14ac:dyDescent="0.3"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</row>
    <row r="239" spans="8:38" x14ac:dyDescent="0.3"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</row>
    <row r="240" spans="8:38" x14ac:dyDescent="0.3"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</row>
    <row r="241" spans="8:38" x14ac:dyDescent="0.3"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</row>
    <row r="242" spans="8:38" x14ac:dyDescent="0.3"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</row>
    <row r="243" spans="8:38" x14ac:dyDescent="0.3"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</row>
    <row r="244" spans="8:38" x14ac:dyDescent="0.3"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</row>
    <row r="245" spans="8:38" x14ac:dyDescent="0.3"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</row>
    <row r="246" spans="8:38" x14ac:dyDescent="0.3"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</row>
    <row r="247" spans="8:38" x14ac:dyDescent="0.3"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</row>
    <row r="248" spans="8:38" x14ac:dyDescent="0.3"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</row>
    <row r="249" spans="8:38" x14ac:dyDescent="0.3"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</row>
    <row r="250" spans="8:38" x14ac:dyDescent="0.3"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</row>
    <row r="251" spans="8:38" x14ac:dyDescent="0.3"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</row>
    <row r="252" spans="8:38" x14ac:dyDescent="0.3"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</row>
    <row r="253" spans="8:38" x14ac:dyDescent="0.3"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</row>
    <row r="254" spans="8:38" x14ac:dyDescent="0.3"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</row>
    <row r="255" spans="8:38" x14ac:dyDescent="0.3"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</row>
    <row r="256" spans="8:38" x14ac:dyDescent="0.3"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</row>
    <row r="257" spans="8:38" x14ac:dyDescent="0.3"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</row>
    <row r="258" spans="8:38" x14ac:dyDescent="0.3"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</row>
    <row r="259" spans="8:38" x14ac:dyDescent="0.3"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</row>
    <row r="260" spans="8:38" x14ac:dyDescent="0.3"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D4E5-42C1-4DE5-B169-B8D18212659F}">
  <dimension ref="C4:L440"/>
  <sheetViews>
    <sheetView topLeftCell="B1" workbookViewId="0">
      <selection activeCell="K9" sqref="K9"/>
    </sheetView>
  </sheetViews>
  <sheetFormatPr defaultRowHeight="14.4" x14ac:dyDescent="0.3"/>
  <cols>
    <col min="3" max="3" width="19.88671875" bestFit="1" customWidth="1"/>
    <col min="4" max="4" width="15.44140625" bestFit="1" customWidth="1"/>
    <col min="5" max="5" width="29.6640625" customWidth="1"/>
    <col min="8" max="8" width="11.109375" bestFit="1" customWidth="1"/>
    <col min="9" max="9" width="14.33203125" bestFit="1" customWidth="1"/>
  </cols>
  <sheetData>
    <row r="4" spans="3:12" x14ac:dyDescent="0.3">
      <c r="C4" t="s">
        <v>17</v>
      </c>
      <c r="H4" t="s">
        <v>16</v>
      </c>
    </row>
    <row r="6" spans="3:12" x14ac:dyDescent="0.3">
      <c r="C6" t="s">
        <v>8</v>
      </c>
      <c r="D6" s="2" t="s">
        <v>9</v>
      </c>
    </row>
    <row r="7" spans="3:12" x14ac:dyDescent="0.3">
      <c r="C7" t="s">
        <v>14</v>
      </c>
      <c r="D7" s="3">
        <f>DATE(2025,6,29)</f>
        <v>45837</v>
      </c>
    </row>
    <row r="8" spans="3:12" x14ac:dyDescent="0.3">
      <c r="C8" t="s">
        <v>15</v>
      </c>
      <c r="D8" s="5">
        <f>D7+180</f>
        <v>46017</v>
      </c>
      <c r="H8" t="s">
        <v>10</v>
      </c>
      <c r="K8" t="s">
        <v>11</v>
      </c>
    </row>
    <row r="9" spans="3:12" x14ac:dyDescent="0.3">
      <c r="H9" t="str">
        <f>_xll.MS.GET_ASSET_FIELD(H8,"current_snapshot.ticker")</f>
        <v>Asset not found.</v>
      </c>
      <c r="K9" s="4" t="str">
        <f>_xll.MS.GET_ASSET_FIELD(K8,"current_snapshot.ticker")</f>
        <v>Asset not found.</v>
      </c>
    </row>
    <row r="10" spans="3:12" x14ac:dyDescent="0.3">
      <c r="H10" t="str">
        <f t="array" ref="H10:I24">_xll.MS.GET_ASSET(H8)</f>
        <v>Asset not found.</v>
      </c>
      <c r="I10" t="str">
        <v>Asset not found.</v>
      </c>
      <c r="K10" t="str">
        <f t="array" ref="K10:L24">_xll.MS.GET_ASSET(H8)</f>
        <v>Asset not found.</v>
      </c>
      <c r="L10" t="str">
        <v>Asset not found.</v>
      </c>
    </row>
    <row r="11" spans="3:12" x14ac:dyDescent="0.3">
      <c r="H11" t="str">
        <v>Asset not found.</v>
      </c>
      <c r="I11" t="str">
        <v>Asset not found.</v>
      </c>
      <c r="K11" t="str">
        <v>Asset not found.</v>
      </c>
      <c r="L11" t="str">
        <v>Asset not found.</v>
      </c>
    </row>
    <row r="12" spans="3:12" x14ac:dyDescent="0.3">
      <c r="H12" t="str">
        <v>Asset not found.</v>
      </c>
      <c r="I12" t="str">
        <v>Asset not found.</v>
      </c>
      <c r="K12" t="str">
        <v>Asset not found.</v>
      </c>
      <c r="L12" t="str">
        <v>Asset not found.</v>
      </c>
    </row>
    <row r="13" spans="3:12" x14ac:dyDescent="0.3">
      <c r="H13" t="str">
        <v>Asset not found.</v>
      </c>
      <c r="I13" t="str">
        <v>Asset not found.</v>
      </c>
      <c r="K13" t="str">
        <v>Asset not found.</v>
      </c>
      <c r="L13" t="str">
        <v>Asset not found.</v>
      </c>
    </row>
    <row r="14" spans="3:12" x14ac:dyDescent="0.3">
      <c r="H14" t="str">
        <v>Asset not found.</v>
      </c>
      <c r="I14" t="str">
        <v>Asset not found.</v>
      </c>
      <c r="K14" t="str">
        <v>Asset not found.</v>
      </c>
      <c r="L14" t="str">
        <v>Asset not found.</v>
      </c>
    </row>
    <row r="15" spans="3:12" x14ac:dyDescent="0.3">
      <c r="H15" t="str">
        <v>Asset not found.</v>
      </c>
      <c r="I15" t="str">
        <v>Asset not found.</v>
      </c>
      <c r="K15" t="str">
        <v>Asset not found.</v>
      </c>
      <c r="L15" t="str">
        <v>Asset not found.</v>
      </c>
    </row>
    <row r="16" spans="3:12" x14ac:dyDescent="0.3">
      <c r="H16" t="str">
        <v>Asset not found.</v>
      </c>
      <c r="I16" t="str">
        <v>Asset not found.</v>
      </c>
      <c r="K16" t="str">
        <v>Asset not found.</v>
      </c>
      <c r="L16" t="str">
        <v>Asset not found.</v>
      </c>
    </row>
    <row r="17" spans="4:12" x14ac:dyDescent="0.3">
      <c r="H17" t="str">
        <v>Asset not found.</v>
      </c>
      <c r="I17" t="str">
        <v>Asset not found.</v>
      </c>
      <c r="K17" t="str">
        <v>Asset not found.</v>
      </c>
      <c r="L17" t="str">
        <v>Asset not found.</v>
      </c>
    </row>
    <row r="18" spans="4:12" x14ac:dyDescent="0.3">
      <c r="H18" t="str">
        <v>Asset not found.</v>
      </c>
      <c r="I18" t="str">
        <v>Asset not found.</v>
      </c>
      <c r="K18" t="str">
        <v>Asset not found.</v>
      </c>
      <c r="L18" t="str">
        <v>Asset not found.</v>
      </c>
    </row>
    <row r="19" spans="4:12" x14ac:dyDescent="0.3">
      <c r="H19" t="str">
        <v>Asset not found.</v>
      </c>
      <c r="I19" t="str">
        <v>Asset not found.</v>
      </c>
      <c r="K19" t="str">
        <v>Asset not found.</v>
      </c>
      <c r="L19" t="str">
        <v>Asset not found.</v>
      </c>
    </row>
    <row r="20" spans="4:12" x14ac:dyDescent="0.3">
      <c r="H20" t="str">
        <v>Asset not found.</v>
      </c>
      <c r="I20" t="str">
        <v>Asset not found.</v>
      </c>
      <c r="K20" t="str">
        <v>Asset not found.</v>
      </c>
      <c r="L20" t="str">
        <v>Asset not found.</v>
      </c>
    </row>
    <row r="21" spans="4:12" x14ac:dyDescent="0.3">
      <c r="H21" t="str">
        <v>Asset not found.</v>
      </c>
      <c r="I21" t="str">
        <v>Asset not found.</v>
      </c>
      <c r="K21" t="str">
        <v>Asset not found.</v>
      </c>
      <c r="L21" t="str">
        <v>Asset not found.</v>
      </c>
    </row>
    <row r="22" spans="4:12" x14ac:dyDescent="0.3">
      <c r="H22" t="str">
        <v>Asset not found.</v>
      </c>
      <c r="I22" t="str">
        <v>Asset not found.</v>
      </c>
      <c r="K22" t="str">
        <v>Asset not found.</v>
      </c>
      <c r="L22" t="str">
        <v>Asset not found.</v>
      </c>
    </row>
    <row r="23" spans="4:12" x14ac:dyDescent="0.3">
      <c r="H23" t="str">
        <v>Asset not found.</v>
      </c>
      <c r="I23" t="str">
        <v>Asset not found.</v>
      </c>
      <c r="K23" t="str">
        <v>Asset not found.</v>
      </c>
      <c r="L23" t="str">
        <v>Asset not found.</v>
      </c>
    </row>
    <row r="24" spans="4:12" x14ac:dyDescent="0.3">
      <c r="H24" t="str">
        <v>Asset not found.</v>
      </c>
      <c r="I24" t="str">
        <v>Asset not found.</v>
      </c>
      <c r="K24" t="str">
        <v>Asset not found.</v>
      </c>
      <c r="L24" t="str">
        <v>Asset not found.</v>
      </c>
    </row>
    <row r="29" spans="4:12" x14ac:dyDescent="0.3">
      <c r="D29" t="s">
        <v>13</v>
      </c>
      <c r="H29" t="s">
        <v>18</v>
      </c>
    </row>
    <row r="30" spans="4:12" x14ac:dyDescent="0.3">
      <c r="D30" t="str" cm="1">
        <f t="array" ref="D30:F160">_xll.MS.GET_DATA_NODE(D6,D7,D8)</f>
        <v>time_index</v>
      </c>
      <c r="E30" t="str">
        <v>unique_identifier</v>
      </c>
      <c r="F30" t="str">
        <v>curve</v>
      </c>
    </row>
    <row r="31" spans="4:12" x14ac:dyDescent="0.3">
      <c r="D31" t="str">
        <v>2025-06-30T04:15:30Z</v>
      </c>
      <c r="E31" t="str">
        <v>polygon_ust_cmt_zero_curve_usd</v>
      </c>
      <c r="F31" t="str">
        <v>H4sIAPrx6WgC/02OQQoDMQwD/5JzKLLkOFa/Vvr3LptCq5sYRug1hPHEA8ntX5hzOA7IwF88h2rdRPYuFi0BxT3H/o6pw6sIERW1OEc0j5QhNFZ1JtJi3XtHWzSbV4vFhq4PAR8WwXJvKyil6/0BtVJFW7kAAAA=</v>
      </c>
      <c r="H31" t="str" cm="1">
        <f t="array" ref="H31:I38">_xll.MS.DECOMPRESS_CURVE(F31)</f>
        <v>days_to_maturity</v>
      </c>
      <c r="I31" t="str">
        <v>rate</v>
      </c>
    </row>
    <row r="32" spans="4:12" x14ac:dyDescent="0.3">
      <c r="D32" t="str">
        <v>2025-07-01T04:15:30Z</v>
      </c>
      <c r="E32" t="str">
        <v>polygon_ust_cmt_zero_curve_usd</v>
      </c>
      <c r="F32" t="str">
        <v>H4sIAPrx6WgC/02MSQoDQQzE/uJzE1wur/lamL+nhx5IdBXSR6jy1pc6MT/MlwyOcP3DsQ0zjlI0EEXlEMZcUs+O3ayYSvdMNyxB21Nh9ihYZOfc0f6dKoiqrAHblX5XOsdh/609kLSMrL6+58a/YrsAAAA=</v>
      </c>
      <c r="H32" t="str">
        <v>30</v>
      </c>
      <c r="I32">
        <v>4.2799999999999241E-2</v>
      </c>
    </row>
    <row r="33" spans="4:9" x14ac:dyDescent="0.3">
      <c r="D33" t="str">
        <v>2025-07-02T04:15:30Z</v>
      </c>
      <c r="E33" t="str">
        <v>polygon_ust_cmt_zero_curve_usd</v>
      </c>
      <c r="F33" t="str">
        <v>H4sIAPrx6WgC/02OQQ4CMQwD/9LzCtlx0jp8DfF3KrpC+DqakV9DGE88kBJ+Y8xrNA9I4m99Dc06BGERFibgDdbdkq0qZ23gWb1jdNxSxOwVaDuzzW/uaCVz36BQBZe2hT6MTK5grFYt5fL7A3/pU1y5AAAA</v>
      </c>
      <c r="H33" t="str">
        <v>91</v>
      </c>
      <c r="I33">
        <v>4.4100000000000091E-2</v>
      </c>
    </row>
    <row r="34" spans="4:9" x14ac:dyDescent="0.3">
      <c r="D34" t="str">
        <v>2025-07-03T04:15:30Z</v>
      </c>
      <c r="E34" t="str">
        <v>polygon_ust_cmt_zero_curve_usd</v>
      </c>
      <c r="F34" t="str">
        <v>H4sIAPrx6WgC/02NOQ4DMQwD/6LaCMiVqCNfC/L3GPEWq4IFB0N9zGFvvBAe8zguGx4QfPRVyzx1CAk6r05kpPuyusd8ehpqRTWu6FjGvm7LMUROO1PQ/PeOppD7zt1KmVvCHESquvcTInJU3x8zp9FEuAAAAA==</v>
      </c>
      <c r="H34" t="str">
        <v>365</v>
      </c>
      <c r="I34">
        <v>3.9976262933006268E-2</v>
      </c>
    </row>
    <row r="35" spans="4:9" x14ac:dyDescent="0.3">
      <c r="D35" t="str">
        <v>2025-07-07T04:15:30Z</v>
      </c>
      <c r="E35" t="str">
        <v>polygon_ust_cmt_zero_curve_usd</v>
      </c>
      <c r="F35" t="str">
        <v>H4sIAPrx6WgC/0WNSQ4DQQwC/+JzK4K28ZKvRfl7RuksXIuChznsjhvCC79wa9nwgOD8U7XMU4dwwzMxORr1XlbfMZAcqUtEB5ex90dyd2Rkh0cR+Z47luSqypmrIOB6IuYwshtN+LSQmf18Ad1+50S5AAAA</v>
      </c>
      <c r="H35" t="str">
        <v>730</v>
      </c>
      <c r="I35">
        <v>3.8195620320616519E-2</v>
      </c>
    </row>
    <row r="36" spans="4:9" x14ac:dyDescent="0.3">
      <c r="D36" t="str">
        <v>2025-07-08T04:15:30Z</v>
      </c>
      <c r="E36" t="str">
        <v>polygon_ust_cmt_zero_curve_usd</v>
      </c>
      <c r="F36" t="str">
        <v>H4sIAPrx6WgC/03MSw5CQQhE0b0w7hgKKD5uzbh3O7YvT4ac1H2Jqzz1oeGc+8yXDA4E/qBqiSePgNAKpjWUnUvqiik0zXyapjQuQdtv5LUxyNSxpse3d2b7ydyp7KrwyG3QOQhM7WmOaXsQ8/4ApFMOe7sAAAA=</v>
      </c>
      <c r="H36" t="str">
        <v>1825</v>
      </c>
      <c r="I36">
        <v>4.1308056844049326E-2</v>
      </c>
    </row>
    <row r="37" spans="4:9" x14ac:dyDescent="0.3">
      <c r="D37" t="str">
        <v>2025-07-09T04:15:30Z</v>
      </c>
      <c r="E37" t="str">
        <v>polygon_ust_cmt_zero_curve_usd</v>
      </c>
      <c r="F37" t="str">
        <v>H4sIAPrx6WgC/02MSwrDUAwD7+L1o1iWv71a6d2b5AVSMbth9BGqvPWlzphnxiWDLRx/omoJM7YBFIR1anrySOo+42QbowcNc/claLsj69CDNDLNNK6/nYVzSgs+k6VxOuhsCWR0NfPEKur7A+lg4NS7AAAA</v>
      </c>
      <c r="H37" t="str">
        <v>3650</v>
      </c>
      <c r="I37">
        <v>5.2928265015280342E-2</v>
      </c>
    </row>
    <row r="38" spans="4:9" x14ac:dyDescent="0.3">
      <c r="D38" t="str">
        <v>2025-07-10T04:15:30Z</v>
      </c>
      <c r="E38" t="str">
        <v>polygon_ust_cmt_zero_curve_usd</v>
      </c>
      <c r="F38" t="str">
        <v>H4sIAPrx6WgC/03MWwoDQQhE0b30dxMsLV+ztZC9R9IDGT/rcnwvk3XJS2je/1Pbq3EC8QiZe1n4KYDAoBUSDBuS9zPrKDWvRkFJ7oXSG2kny5JJd1X9vTvKZ7FUEQwZ6sOkTwS8Zg5hE2zLzxerABUfugAAAA==</v>
      </c>
      <c r="H38" t="str">
        <v>10950</v>
      </c>
      <c r="I38">
        <v>0.1126987931233496</v>
      </c>
    </row>
    <row r="39" spans="4:9" x14ac:dyDescent="0.3">
      <c r="D39" t="str">
        <v>2025-07-11T04:15:30Z</v>
      </c>
      <c r="E39" t="str">
        <v>polygon_ust_cmt_zero_curve_usd</v>
      </c>
      <c r="F39" t="str">
        <v>H4sIAPrx6WgC/02NQQ4CMQwD/9LzCtlx3CZ8DfF3KipW+Dqa8WsI44kHUgv3GL5G84Ak/tbX0PQhFKZmdLtUnnmN9auBRHBKpfYGrPD9E9XJhhArv7kjeWfQoLcpa20LfRgDtapMu8NGvj90QTJSuQAAAA==</v>
      </c>
    </row>
    <row r="40" spans="4:9" x14ac:dyDescent="0.3">
      <c r="D40" t="str">
        <v>2025-07-14T04:15:30Z</v>
      </c>
      <c r="E40" t="str">
        <v>polygon_ust_cmt_zero_curve_usd</v>
      </c>
      <c r="F40" t="str">
        <v>H4sIAPrx6WgC/0WNSQ4CQQwD/5JzC8VZ23wN8Xcimhms3Cplv8RVnvrQ8NY7sFxCHBDgP91LvPIQmHqVspjMbUv6KlMAzNyd0B1Ygm0/ybNpFbQMbrVv3bHmP4rgzAerOZbyMBgyZgnwUM69P3dQiz+5AAAA</v>
      </c>
    </row>
    <row r="41" spans="4:9" x14ac:dyDescent="0.3">
      <c r="D41" t="str">
        <v>2025-07-15T04:15:30Z</v>
      </c>
      <c r="E41" t="str">
        <v>polygon_ust_cmt_zero_curve_usd</v>
      </c>
      <c r="F41" t="str">
        <v>H4sIAPrx6WgC/03NSw5CMQxD0b1kXKF87YStobd3CgVBpkfXeUio3PWmGTW/81gydiDtD8glgTpisDBXeE1YAEv4XVPsjmmKyugt1v6pMr2NHO8kGe+9UxUmdb+ocO18RTqHzH0A9jipVajrCWDVzWG5AAAA</v>
      </c>
    </row>
    <row r="42" spans="4:9" x14ac:dyDescent="0.3">
      <c r="D42" t="str">
        <v>2025-07-16T04:15:30Z</v>
      </c>
      <c r="E42" t="str">
        <v>polygon_ust_cmt_zero_curve_usd</v>
      </c>
      <c r="F42" t="str">
        <v>H4sIAPrx6WgC/02OQQ4DMQgD/5JzVNkYCPRr1f69abNS64MPjMbiNYTxxAOu6F9MczQPcOIvPYcyDqHBgWVlQpJzrHtMXZ2yWhmei4w5WHZb2oflAoUKKb+Dx4vcX8RuUu7lvj30gbSPWEjzBMN0vQGRdyyWvAAAAA==</v>
      </c>
    </row>
    <row r="43" spans="4:9" x14ac:dyDescent="0.3">
      <c r="D43" t="str">
        <v>2025-07-17T04:15:30Z</v>
      </c>
      <c r="E43" t="str">
        <v>polygon_ust_cmt_zero_curve_usd</v>
      </c>
      <c r="F43" t="str">
        <v>H4sIAPrx6WgC/02NSw7CUAwD75L1E4rjfLka6t0pfUXg7WjGL6HKUx/qjPnNuGSwgUP/NkuYsQlcuyyciGFNLqlvTQ1p9EpvB8uXoO3WOF6AVXSEKq7g1iJ9LOa8ITr5sXQ2gzG0T1aMpimON1cBnAy7AAAA</v>
      </c>
    </row>
    <row r="44" spans="4:9" x14ac:dyDescent="0.3">
      <c r="D44" t="str">
        <v>2025-07-18T04:15:30Z</v>
      </c>
      <c r="E44" t="str">
        <v>polygon_ust_cmt_zero_curve_usd</v>
      </c>
      <c r="F44" t="str">
        <v>H4sIAPrx6WgC/02NMQ4DQQgD/7L1KcILGJyvRfl7UPaKc4dGM3yW23rby8JDj+FawgFhjwXiWs48CHu8dJpcfa26W3OIkwPA7gHofRvu3pSJWfKsf+tIScsqKMpAMMcyHYbtAQvtJoPz6/sDXnzfbrcAAAA=</v>
      </c>
    </row>
    <row r="45" spans="4:9" x14ac:dyDescent="0.3">
      <c r="D45" t="str">
        <v>2025-07-21T04:15:30Z</v>
      </c>
      <c r="E45" t="str">
        <v>polygon_ust_cmt_zero_curve_usd</v>
      </c>
      <c r="F45" t="str">
        <v>H4sIAPrx6WgC/02NMQ4DQQgD/0K9ijBgFvK16P4ekr3iXDIe8xFXeetLw6MfwZLGAQF9pJd48hCdoiPVlJVlS/Y95s2dc98gkzkEZbdk27GzwhLGxH/uWCRmMyI6QO+fpX0YTGNeVDdRPvj6AvP8sKe5AAAA</v>
      </c>
    </row>
    <row r="46" spans="4:9" x14ac:dyDescent="0.3">
      <c r="D46" t="str">
        <v>2025-07-22T04:15:30Z</v>
      </c>
      <c r="E46" t="str">
        <v>polygon_ust_cmt_zero_curve_usd</v>
      </c>
      <c r="F46" t="str">
        <v>H4sIAPrx6WgC/02MSQ4CQQwD/5JzCzlxVr6G+Ds99Ajho8vllxDyxAPOwi9qsWT0AFf8ZZYw4xD05DS8tDi+pO4vDtPGylMNLG6kbbdkzEEQ1yTp8f07XniyIzvLurP78jAHqvZW1Zy6G/V8fwDpWSrguwAAAA==</v>
      </c>
    </row>
    <row r="47" spans="4:9" x14ac:dyDescent="0.3">
      <c r="D47" t="str">
        <v>2025-07-23T04:15:30Z</v>
      </c>
      <c r="E47" t="str">
        <v>polygon_ust_cmt_zero_curve_usd</v>
      </c>
      <c r="F47" t="str">
        <v>H4sIAPrx6WgC/02NSw5CQRAC7zLrFwP0b9qrGe9ux3kxsmBDqngtw3riAbfCL1Rcq3kGJ/7S17KMs1BwoLRlSPJadcusd6dpV4ZnkWPj1k0ZGqoyJZUeX9/BIqyd0aqBpodCn22uqmSq+UoI8f4AiwAl/7oAAAA=</v>
      </c>
    </row>
    <row r="48" spans="4:9" x14ac:dyDescent="0.3">
      <c r="D48" t="str">
        <v>2025-07-24T04:15:30Z</v>
      </c>
      <c r="E48" t="str">
        <v>polygon_ust_cmt_zero_curve_usd</v>
      </c>
      <c r="F48" t="str">
        <v>H4sIAPrx6WgC/0WOSQ4CMRAD/5JzhOx2euNriL8TEWbwtVQlv4YwnnhgKXGP5nM0D1js/zLnUPghXChlyq3bWdvJqwZjIKxrM9LmYNnPkm9D0goK7G/vWO61LArJRKp3j+jDaKjeT9yjPYPx/gDaDLVsugAAAA==</v>
      </c>
    </row>
    <row r="49" spans="4:6" x14ac:dyDescent="0.3">
      <c r="D49" t="str">
        <v>2025-07-25T04:15:30Z</v>
      </c>
      <c r="E49" t="str">
        <v>polygon_ust_cmt_zero_curve_usd</v>
      </c>
      <c r="F49" t="str">
        <v>H4sIAPrx6WgC/0WOSQ4CQQwD/5JzC9nZw9cQf6dFM4MPPqRUVl5ikCcecCvcocaS4QHO+adqiWUcQkOC0YBmF31JXWtQ1tSg07h7CVt/limYuU3UHjT7Dh4twnK89t0znPsJYg4ju9WoGnRPnXh/ANp8Cea7AAAA</v>
      </c>
    </row>
    <row r="50" spans="4:6" x14ac:dyDescent="0.3">
      <c r="D50" t="str">
        <v>2025-07-28T04:15:30Z</v>
      </c>
      <c r="E50" t="str">
        <v>polygon_ust_cmt_zero_curve_usd</v>
      </c>
      <c r="F50" t="str">
        <v>H4sIAPrx6WgC/02Nyw1DQQgDe+G8igzGC6S1KL3ns4n0fB3N+GGE3XFDci6LWDZ+QOKy9FzGrYOc2OUIqKOUe1n9cwhvRuwpasBl3vGzyNC0KE5J/e0dSyrgo3Rwj95XjjnMw1Fd6T2S0M8XV7gTKroAAAA=</v>
      </c>
    </row>
    <row r="51" spans="4:6" x14ac:dyDescent="0.3">
      <c r="D51" t="str">
        <v>2025-07-29T04:15:30Z</v>
      </c>
      <c r="E51" t="str">
        <v>polygon_ust_cmt_zero_curve_usd</v>
      </c>
      <c r="F51" t="str">
        <v>H4sIAPrx6WgC/03Muw3DMBRD0V1UGwHJ989qQXaPArkw24vDzzKsN15wm8ekaw1PcDzm9GtZxkkkBFhZQGN1rbrfbLKVU1l/YdqIrVspYWoqxeqMc3hcuKtg2bkPpxDbYU4kE4gEYdux+/sDwVlgP70AAAA=</v>
      </c>
    </row>
    <row r="52" spans="4:6" x14ac:dyDescent="0.3">
      <c r="D52" t="str">
        <v>2025-07-30T04:15:30Z</v>
      </c>
      <c r="E52" t="str">
        <v>polygon_ust_cmt_zero_curve_usd</v>
      </c>
      <c r="F52" t="str">
        <v>H4sIAPrx6WgC/2WOQRJCMQhD78K64xASSvFqjne336ob2b7khYfR7e43l+C/Q+Swxj9w72GceQgmqHIVvJkaVl+ZJyfDV0SnumsYVnxaJKAsNBUo6C08vSu7Mqorp6C9tc2HYUfX9YyoSfbzBWwgfn26AAAA</v>
      </c>
    </row>
    <row r="53" spans="4:6" x14ac:dyDescent="0.3">
      <c r="D53" t="str">
        <v>2025-07-31T04:15:30Z</v>
      </c>
      <c r="E53" t="str">
        <v>polygon_ust_cmt_zero_curve_usd</v>
      </c>
      <c r="F53" t="str">
        <v>H4sIAPrx6WgC/02Myw1CMRDEesk5QjM7+6U1RO8g8kD4atmPJaw7bnAf/KBpr+EliD9mL2UcQ0eXhYsxqsm96ntDONhhnaEZ7sW2q5IoQ5aVWw3zMzxZeFtltssmGvJ3hzmSLLHTK5SoUjxf+4GF27wAAAA=</v>
      </c>
    </row>
    <row r="54" spans="4:6" x14ac:dyDescent="0.3">
      <c r="D54" t="str">
        <v>2025-08-01T04:15:30Z</v>
      </c>
      <c r="E54" t="str">
        <v>polygon_ust_cmt_zero_curve_usd</v>
      </c>
      <c r="F54" t="str">
        <v>H4sIAPrx6WgC/0XMQRLDMAhD0bt47elICAz0ap3cvWmcSdk+vj5DGG+84N54jqY5mhsUf8APtOISNaIQK8FSlc2R95iyGg5mpySuOVi2IyeK6HS3jk76tbezsAIjTWFRKZ4ZehvpSbPzw0wK7+MLVr0Kf7oAAAA=</v>
      </c>
    </row>
    <row r="55" spans="4:6" x14ac:dyDescent="0.3">
      <c r="D55" t="str">
        <v>2025-08-04T04:15:30Z</v>
      </c>
      <c r="E55" t="str">
        <v>polygon_ust_cmt_zero_curve_usd</v>
      </c>
      <c r="F55" t="str">
        <v>H4sIAPrx6WgC/0WMSQ7DQAzD/uLzoLAtL3K+VvTvHWQCRFeK/ApULv1oRM87tyVjByD1nWMJKm8CZrRmDzLcikv6iaE5Ezqk9SazxOhHCiVm39lOsuzOHSu9Chw03Azh29I5zCy8rRNguavO7w94kiUFuQAAAA==</v>
      </c>
    </row>
    <row r="56" spans="4:6" x14ac:dyDescent="0.3">
      <c r="D56" t="str">
        <v>2025-08-05T04:15:30Z</v>
      </c>
      <c r="E56" t="str">
        <v>polygon_ust_cmt_zero_curve_usd</v>
      </c>
      <c r="F56" t="str">
        <v>H4sIAPrx6WgC/0WNwQ0CQQwDe8l7hZw4cTa0huid0y0Cf8djv4ywJx7IHPziwWXjB5Dzj3oZVTfhlKaq1Nxi72X9HeMOJII5HFRHLfMdx0qHak+2Xy8l3ntHq1A4EC5BTOjSMAde7Zku9CSjhXp/AP4XydW7AAAA</v>
      </c>
    </row>
    <row r="57" spans="4:6" x14ac:dyDescent="0.3">
      <c r="D57" t="str">
        <v>2025-08-06T04:15:30Z</v>
      </c>
      <c r="E57" t="str">
        <v>polygon_ust_cmt_zero_curve_usd</v>
      </c>
      <c r="F57" t="str">
        <v>H4sIAPrx6WgC/0XMSwrDQAwD0LvMOhTZ8jdXK7l73UwgWhjDQ/ouYp34wCz7jcqxWjZQ8YYDDL+FPV9qKSHzjeQzxqxyK4ZBW8OPJaW7ZIJBtsKrQd5zu+UanGMVhSjNfw29UcTKxpmcRYu4fizDtMC6AAAA</v>
      </c>
    </row>
    <row r="58" spans="4:6" x14ac:dyDescent="0.3">
      <c r="D58" t="str">
        <v>2025-08-07T04:15:30Z</v>
      </c>
      <c r="E58" t="str">
        <v>polygon_ust_cmt_zero_curve_usd</v>
      </c>
      <c r="F58" t="str">
        <v>H4sIAPrx6WgC/0WMQQ4CMQzE/tJzhTIzSZrwNbR/p2wR+GrZryEbT3uYe9sPUHM0jhD/woQ5lHEbdSwjTSyoLOdY35mKu/MmIoo1B4qncQi00FJujPftRMGVWNtx4ZPuH6yPBDyjO5PycHRfb/LLjzi5AAAA</v>
      </c>
    </row>
    <row r="59" spans="4:6" x14ac:dyDescent="0.3">
      <c r="D59" t="str">
        <v>2025-08-08T04:15:30Z</v>
      </c>
      <c r="E59" t="str">
        <v>polygon_ust_cmt_zero_curve_usd</v>
      </c>
      <c r="F59" t="str">
        <v>H4sIAPrx6WgC/0WOSQ4CQQwD/9LnEYoTZzFfQ/ydhkYaX0tV8muFrac9jGzdc1xLOCDc7sUGUfkjoWpnF5NIoa/V/1hMhQ8znTKYeC2MH4sQnIN279J82Q4eLyOyGmqfHlltzXQYUBSmLPdRm9H7A+quYBe7AAAA</v>
      </c>
    </row>
    <row r="60" spans="4:6" x14ac:dyDescent="0.3">
      <c r="D60" t="str">
        <v>2025-08-11T04:15:30Z</v>
      </c>
      <c r="E60" t="str">
        <v>polygon_ust_cmt_zero_curve_usd</v>
      </c>
      <c r="F60" t="str">
        <v>H4sIAPrx6WgC/0WNSQoDQQwD/9LnIViWFzlfC/l7munA6CYKlT6Ltt72soiyJ1nXGhxAzpPqa7HyJtwNghk1ZF6r/y6q6IkcsGU1Wwb5GQVaGvcyhdRz684sycYWekYgfD/B5jAgJcUELRUJfH8dti+8uQAAAA==</v>
      </c>
    </row>
    <row r="61" spans="4:6" x14ac:dyDescent="0.3">
      <c r="D61" t="str">
        <v>2025-08-12T04:15:30Z</v>
      </c>
      <c r="E61" t="str">
        <v>polygon_ust_cmt_zero_curve_usd</v>
      </c>
      <c r="F61" t="str">
        <v>H4sIAPrx6WgC/02MQQoDMQwD/5JzKJZlO3K/Vvr3hs3CVifBMPMZtPG2l0Wwn7nP0TiA/gdaMQcrL8Tej70qK0XrOdZdo9yW0KlkhGxLkB8rIKuStRctV+cVPF5yebqchSBhm8H6QEAIgEKqd6C+P6T1ELO9AAAA</v>
      </c>
    </row>
    <row r="62" spans="4:6" x14ac:dyDescent="0.3">
      <c r="D62" t="str">
        <v>2025-08-13T04:15:30Z</v>
      </c>
      <c r="E62" t="str">
        <v>polygon_ust_cmt_zero_curve_usd</v>
      </c>
      <c r="F62" t="str">
        <v>H4sIAPrx6WgC/0WOSQoDQQwD/9LnIdiWFylfC/l7munA6FpUoc+Crbe9LBN6FnEt+QEhewZeC103AVVDK7KRQOa15l/D9DDaJfcabckZx0o3irarEWYVeQePVqGZFgl3ZrK3ZzpwhxgZ3fL9iYXvD9ayMGG8AAAA</v>
      </c>
    </row>
    <row r="63" spans="4:6" x14ac:dyDescent="0.3">
      <c r="D63" t="str">
        <v>2025-08-14T04:15:30Z</v>
      </c>
      <c r="E63" t="str">
        <v>polygon_ust_cmt_zero_curve_usd</v>
      </c>
      <c r="F63" t="str">
        <v>H4sIAPrx6WgC/02NSwpCQRAD7zLrQTqd/sWriXf36QiaVaCo5LFo6243i2j94thLOID2n9qLlR9CRU2RU3M1Re7V3zVOOApNdlg6Yy+MHy1QnXAVWPKZs3i85KUIqrquQm8G04HAIL0BubJC/nwBUyWesr0AAAA=</v>
      </c>
    </row>
    <row r="64" spans="4:6" x14ac:dyDescent="0.3">
      <c r="D64" t="str">
        <v>2025-08-15T04:15:30Z</v>
      </c>
      <c r="E64" t="str">
        <v>polygon_ust_cmt_zero_curve_usd</v>
      </c>
      <c r="F64" t="str">
        <v>H4sIAPrx6WgC/02MSQ4CMAzE/tJzhZJJJgtfQ/ydqEUCXy37tUzWUx7inv0DulfrFSb/xF4WPMY60tTR8EQw98rvzIrgYGxp+sy0cCPHdG1ZkKQoeX43o1tKVFl1qLMnm/w4hUgpDGBpFuP9AW2aPru6AAAA</v>
      </c>
    </row>
    <row r="65" spans="4:6" x14ac:dyDescent="0.3">
      <c r="D65" t="str">
        <v>2025-08-18T04:15:30Z</v>
      </c>
      <c r="E65" t="str">
        <v>polygon_ust_cmt_zero_curve_usd</v>
      </c>
      <c r="F65" t="str">
        <v>H4sIAPrx6WgC/02MQQpCQQxD7zLrj7Rp2mm8mnh3yx9Bswq8vLxW2Hraw8jSL911LfkhAf0jXisqbxSqDZ/BFLT2SPv7F71pgfJKTbOxvHE0wjOLuYXoKN2HR0smfKeczQKVo5kOdDhs5giwcr7fH1pKPAW+AAAA</v>
      </c>
    </row>
    <row r="66" spans="4:6" x14ac:dyDescent="0.3">
      <c r="D66" t="str">
        <v>2025-08-19T04:15:30Z</v>
      </c>
      <c r="E66" t="str">
        <v>polygon_ust_cmt_zero_curve_usd</v>
      </c>
      <c r="F66" t="str">
        <v>H4sIAPrx6WgC/02NQQpCQQxD7zLrjyRN22m9mnh3yx9Bs3rwSPJawnriAffEL5HXah4h/GeEMm6j9qyUKmuoPa61v2uqsDbDiAGva7HstJy5qVAZIwfiHjy1UMPQe7vSG6OIPo5sK4HzRd8Ivj9iu0rFuwAAAA==</v>
      </c>
    </row>
    <row r="67" spans="4:6" x14ac:dyDescent="0.3">
      <c r="D67" t="str">
        <v>2025-08-20T04:15:30Z</v>
      </c>
      <c r="E67" t="str">
        <v>polygon_ust_cmt_zero_curve_usd</v>
      </c>
      <c r="F67" t="str">
        <v>H4sIAPrx6WgC/02MSwpCQRAD7zLrQbo76U+8mry7+3BELLIrKq8FW097GJn2w4N7yY+A/VN7ofJjIFRhRJ97rr36e4ZhgKS6J8Yj9/KJU9Ezo4TIRoTO38kSTQVFSVk+fWemI91nbGQREKPR1xv/gwlnuwAAAA==</v>
      </c>
    </row>
    <row r="68" spans="4:6" x14ac:dyDescent="0.3">
      <c r="D68" t="str">
        <v>2025-08-21T04:15:30Z</v>
      </c>
      <c r="E68" t="str">
        <v>polygon_ust_cmt_zero_curve_usd</v>
      </c>
      <c r="F68" t="str">
        <v>H4sIAPrx6WgC/0XOyw0DQQgD0F44jyLA5pfWovSe0c5qw/XJxh+ByltfSo4+Z44lYwfgf1DYEmRcgukq1e60HqCX1F2GnnCLTG2N4hJrPxm6MVFOVAQ8r7YTCoLYr7erM/YC0zlmewLRzIzC0Of7A8BOT924AAAA</v>
      </c>
    </row>
    <row r="69" spans="4:6" x14ac:dyDescent="0.3">
      <c r="D69" t="str">
        <v>2025-08-22T04:15:30Z</v>
      </c>
      <c r="E69" t="str">
        <v>polygon_ust_cmt_zero_curve_usd</v>
      </c>
      <c r="F69" t="str">
        <v>H4sIAPrx6WgC/0WNSQoDQQwD/9LnIcirrHwt5O9ppgOjk0xR8mcF1hsvZLaezPS1ZIc48cQirxVdNwqh0YMIirXrtfjfC3LSXT1VbdqSjR8rofYs7YcxJvY9eLSKcDloVJbZbA06bF+0gilUbOj7A+SLtrS8AAAA</v>
      </c>
    </row>
    <row r="70" spans="4:6" x14ac:dyDescent="0.3">
      <c r="D70" t="str">
        <v>2025-08-25T04:15:30Z</v>
      </c>
      <c r="E70" t="str">
        <v>polygon_ust_cmt_zero_curve_usd</v>
      </c>
      <c r="F70" t="str">
        <v>H4sIAPrx6WgC/0XNyw0CQQwD0F7mPEJx/qY1RO8EZrXk+mzntUzWUx7iHnIf1PciDij/INZ7WcZPjEhVZ2jAhvaqa8zawCxE04U5gtZTcrg5GSgYLb+PZu/UwoKlGjJhjdHpCQ8CzXJ0ehd6Uu8PXtzsRrsAAAA=</v>
      </c>
    </row>
    <row r="71" spans="4:6" x14ac:dyDescent="0.3">
      <c r="D71" t="str">
        <v>2025-08-26T04:15:30Z</v>
      </c>
      <c r="E71" t="str">
        <v>polygon_ust_cmt_zero_curve_usd</v>
      </c>
      <c r="F71" t="str">
        <v>H4sIAPrx6WgC/0WOSQoDQQwD/9LnJsiWvOVrIX/PMB0YXYsq9FnEeuMFyfEsaq+xA7zmWdtezLgJuyPGwbJQTexV/xgLTEzGJIJ7WftRhM6CVRVUKtddO1KQKZUJdKr90jCH2fVNrQQ1LRt+f60jbz24AAAA</v>
      </c>
    </row>
    <row r="72" spans="4:6" x14ac:dyDescent="0.3">
      <c r="D72" t="str">
        <v>2025-08-27T04:15:30Z</v>
      </c>
      <c r="E72" t="str">
        <v>polygon_ust_cmt_zero_curve_usd</v>
      </c>
      <c r="F72" t="str">
        <v>H4sIAPrx6WgC/0WNSQ4DQQgD/9LnVsRmA/laNH8PmY40PlJ28Vku6y0viTB5gtyr9QBDPwH3cuImXoQpp4B0R++Vf5mzDKGcaQRZM9K5HJ9ozAerknZk3b4zg6smAQqj9CdU6cPUdFgKK+jlEdcXpFh1jboAAAA=</v>
      </c>
    </row>
    <row r="73" spans="4:6" x14ac:dyDescent="0.3">
      <c r="D73" t="str">
        <v>2025-08-28T04:15:30Z</v>
      </c>
      <c r="E73" t="str">
        <v>polygon_ust_cmt_zero_curve_usd</v>
      </c>
      <c r="F73" t="str">
        <v>H4sIAPrx6WgC/0WNXQoDQQiD7+LzUIwaf3q1snfvdKeweTDgR5KPuMpbXxph+oi1ZHCAcR4xl3jyJt7NZFkXoMzcqP5tXgjP6f2v7bYEbScVCivaJJypirvvpGiVNch9dIK/LegcCEwEOqwaVOD6AmQkJgm6AAAA</v>
      </c>
    </row>
    <row r="74" spans="4:6" x14ac:dyDescent="0.3">
      <c r="D74" t="str">
        <v>2025-08-29T04:15:30Z</v>
      </c>
      <c r="E74" t="str">
        <v>polygon_ust_cmt_zero_curve_usd</v>
      </c>
      <c r="F74" t="str">
        <v>H4sIAPrx6WgC/0WNxw3DQBADe7n3weAGbnBrhnv3QifIfDIMP8uw3njBXfBIlHu1nEC1/wrby4JXYhU0sSwDlfC98oZZlLIqvMokpIcm4xze4LOQnBNQ2i/g2VF72l0p0AHkzNAnE50q0GOIF1nfH3HoKGW7AAAA</v>
      </c>
    </row>
    <row r="75" spans="4:6" x14ac:dyDescent="0.3">
      <c r="D75" t="str">
        <v>2025-09-02T04:15:30Z</v>
      </c>
      <c r="E75" t="str">
        <v>polygon_ust_cmt_zero_curve_usd</v>
      </c>
      <c r="F75" t="str">
        <v>H4sIAPrx6WgC/03OQQoDQQhE0bv0egilVrWaq4W5eySdxbiThx8/K7DeeIHRj3G/VtsBe0KC14qtH0VJ1uawCrFG8l+LVDbDJNKpfS0rP0dEeuVsuyWUnd45UyR6isAeGDH0IXNG0qc1D1Ge9xf8d4lvugAAAA==</v>
      </c>
    </row>
    <row r="76" spans="4:6" x14ac:dyDescent="0.3">
      <c r="D76" t="str">
        <v>2025-09-03T04:15:30Z</v>
      </c>
      <c r="E76" t="str">
        <v>polygon_ust_cmt_zero_curve_usd</v>
      </c>
      <c r="F76" t="str">
        <v>H4sIAPrx6WgC/02OSQoDQQwD/+JzEyzLa74W8vc00wMTHVVo+QhV3vpSp8+fsGRwAFof0X0JMy7E3jSDXZ6VnFhSdx1LA+UdNaMD5BK0nZgr2KiG2vaacTWeXFhVKiwxY4x9AzqHwbT2Rw8jck/O9wdQZS++vQAAAA==</v>
      </c>
    </row>
    <row r="77" spans="4:6" x14ac:dyDescent="0.3">
      <c r="D77" t="str">
        <v>2025-09-04T04:15:30Z</v>
      </c>
      <c r="E77" t="str">
        <v>polygon_ust_cmt_zero_curve_usd</v>
      </c>
      <c r="F77" t="str">
        <v>H4sIAPrx6WgC/02NQQ7DQAgD/7LnqMJmYXG/VuXvJZuoqi8cxmM+w2287WXT3X4B8xjCDZD2F8UxPGMjX5rdVYUv07yk9cx5lovMyRlc4cdA8bGUseBWTCKo3IO3FpBY/bKPUNUM/XJDoBTFy+5KuM4vhDCeHb0AAAA=</v>
      </c>
    </row>
    <row r="78" spans="4:6" x14ac:dyDescent="0.3">
      <c r="D78" t="str">
        <v>2025-09-05T04:15:30Z</v>
      </c>
      <c r="E78" t="str">
        <v>polygon_ust_cmt_zero_curve_usd</v>
      </c>
      <c r="F78" t="str">
        <v>H4sIAPrx6WgC/0WOSw5CQQgE78J6YhoYPu3VzLu76LwoYUFSqaZf4pAnHthG/EatllAPQP0BXJd4xpd4tjLSkYXuHKXuME/AUBkRDm7sJdp2W800hjrmp9mHTeDxAjSq0Xt7zeZ44IGqMb0CRau54noDrtkTsbsAAAA=</v>
      </c>
    </row>
    <row r="79" spans="4:6" x14ac:dyDescent="0.3">
      <c r="D79" t="str">
        <v>2025-09-08T04:15:30Z</v>
      </c>
      <c r="E79" t="str">
        <v>polygon_ust_cmt_zero_curve_usd</v>
      </c>
      <c r="F79" t="str">
        <v>H4sIAPrx6WgC/02NSQ7DMAwD/6KzUZCSteVrRf5eww7Q8MLDYMivGOTCB1MD/3jHkOYhfAHo9CEWvpFFMnxWOR3ZPSSfOfOspinhTK8cwtJHqtRE1LSiRljsvaM5qL1eGoU+2urNSKhOy2an9ZLvH/9ymte8AAAA</v>
      </c>
    </row>
    <row r="80" spans="4:6" x14ac:dyDescent="0.3">
      <c r="D80" t="str">
        <v>2025-09-09T04:15:30Z</v>
      </c>
      <c r="E80" t="str">
        <v>polygon_ust_cmt_zero_curve_usd</v>
      </c>
      <c r="F80" t="str">
        <v>H4sIAPrx6WgC/02NSQ4CMRAD/5JzhNru9GK+hvg7YTJC+Giryq/hNp72sMWwX8CaQzgD7C9cMYdnXJMXuOTdpswqzlG3zdNRgqyZrK8NzRvatYdTCkjEpTtUWESTyH1DKDdlOhuAWDKxCrvq9wc8rypSuQAAAA==</v>
      </c>
    </row>
    <row r="81" spans="4:6" x14ac:dyDescent="0.3">
      <c r="D81" t="str">
        <v>2025-09-10T04:15:30Z</v>
      </c>
      <c r="E81" t="str">
        <v>polygon_ust_cmt_zero_curve_usd</v>
      </c>
      <c r="F81" t="str">
        <v>H4sIAPrx6WgC/02OQQ7EMAgD/5JztAKDCd6vrfr3jdoc6qMHRv6NsPG1jyWgV2IO+QOsX32tOaJ4kyjBN/fd92LOsY4sKuAEupKpZZzDG+erRae3p+0L9e07GyQgKCyojL2Nbnqgu0G5dWSmCrz+XuJok7sAAAA=</v>
      </c>
    </row>
    <row r="82" spans="4:6" x14ac:dyDescent="0.3">
      <c r="D82" t="str">
        <v>2025-09-11T04:15:30Z</v>
      </c>
      <c r="E82" t="str">
        <v>polygon_ust_cmt_zero_curve_usd</v>
      </c>
      <c r="F82" t="str">
        <v>H4sIAPrx6WgC/02OSQoDMRAD/+KzCVIvcne+FubvMTOGREcVJfQZjvHGC2GGX4Sco/kQrP6P5nDljVxioiyqgbTYaJ09F7n7WIyUy+dg2bGqhfZGBc2Z99550eG+trMLUhsR/TCinPQlU1hX8voC7qgmY7wAAAA=</v>
      </c>
    </row>
    <row r="83" spans="4:6" x14ac:dyDescent="0.3">
      <c r="D83" t="str">
        <v>2025-09-12T04:15:30Z</v>
      </c>
      <c r="E83" t="str">
        <v>polygon_ust_cmt_zero_curve_usd</v>
      </c>
      <c r="F83" t="str">
        <v>H4sIAPrx6WgC/02MSQoDQQwD/+JzEyTvztfC/D3N9ECik6BU+ohB3njB1eYXjSXDA1Dzn1xiGTeyHKUFgC7triX1vO2FJTf0VuXYErY+0rgptQZeStp9d6wAxxvcSjnDt4U5bBcrzwgjigpeX1cly2S6AAAA</v>
      </c>
    </row>
    <row r="84" spans="4:6" x14ac:dyDescent="0.3">
      <c r="D84" t="str">
        <v>2025-09-15T04:15:30Z</v>
      </c>
      <c r="E84" t="str">
        <v>polygon_ust_cmt_zero_curve_usd</v>
      </c>
      <c r="F84" t="str">
        <v>H4sIAPrx6WgC/0WNWwrDQAwD77LfS5Ffsp2rld69JhuIfgfNfJdhXfjAVfGOiL1aDkH0uxxgjJsYUzJL0IXKSu6Vj85oGm4pCHhV+l5S+txams1JQhI8wnOLSauDNkIWbNjYDxSUkdXW4+5y/f0Bh5nMr70AAAA=</v>
      </c>
    </row>
    <row r="85" spans="4:6" x14ac:dyDescent="0.3">
      <c r="D85" t="str">
        <v>2025-09-16T04:15:30Z</v>
      </c>
      <c r="E85" t="str">
        <v>polygon_ust_cmt_zero_curve_usd</v>
      </c>
      <c r="F85" t="str">
        <v>H4sIAPrx6WgC/02OSw5CQQgE78J6YppfM3g1493l+SZRWLDorgovccgTD4T23xiXtN7B7G+8lzjzm8zVMDfUNhI9TB2bEygyoFWmxlii2w62m5nguFJ5USM6T3S7jclzjFE6FPrOFHXVMzRr+qz3B1j/61K7AAAA</v>
      </c>
    </row>
    <row r="86" spans="4:6" x14ac:dyDescent="0.3">
      <c r="D86" t="str">
        <v>2025-09-17T04:15:30Z</v>
      </c>
      <c r="E86" t="str">
        <v>polygon_ust_cmt_zero_curve_usd</v>
      </c>
      <c r="F86" t="str">
        <v>H4sIAPrx6WgC/02OSQ4CQQwD/5JzCzlbJ+ZriL8TpkcIX8tl+SUOeeKB0MIvalxCPQCGPxJLfOdFfLuiYAxW7yV1T/lW7UyrTJ2u5xJtux369CNAjAi91o6WMLPvjUI3sscCD1O0eW2CzJGb7w9hhrz9uAAAAA==</v>
      </c>
    </row>
    <row r="87" spans="4:6" x14ac:dyDescent="0.3">
      <c r="D87" t="str">
        <v>2025-09-18T04:15:30Z</v>
      </c>
      <c r="E87" t="str">
        <v>polygon_ust_cmt_zero_curve_usd</v>
      </c>
      <c r="F87" t="str">
        <v>H4sIAPrx6WgC/02MOQ7DQAzE/rL1IhgdI43ytcB/j2G7MFuC/K3A+uKDtHnhtdfYLeAvIeNeUbxUVJpnEd5savbq5xZVdLWnSgF47mXypzr31gUTh4G8fndGTLuqIjli91lhbmdmYGoc3e0jHX9fSaLUuwAAAA==</v>
      </c>
    </row>
    <row r="88" spans="4:6" x14ac:dyDescent="0.3">
      <c r="D88" t="str">
        <v>2025-09-19T04:15:30Z</v>
      </c>
      <c r="E88" t="str">
        <v>polygon_ust_cmt_zero_curve_usd</v>
      </c>
      <c r="F88" t="str">
        <v>H4sIAPrx6WgC/02MyQ3DQAzEetn3ItCM7rQWuPcIXj+slzAE+Vsq6ysfMVS/zvZqHCB87QXfS8NvpKEQ7VLOZ4W98qlphFvAvKBMTg1Ff3pi1tXB8GbctSM5RklkzuxWOpL0YQDNu9OTMmHl9Qd8O7umuQAAAA==</v>
      </c>
    </row>
    <row r="89" spans="4:6" x14ac:dyDescent="0.3">
      <c r="D89" t="str">
        <v>2025-09-22T04:15:30Z</v>
      </c>
      <c r="E89" t="str">
        <v>polygon_ust_cmt_zero_curve_usd</v>
      </c>
      <c r="F89" t="str">
        <v>H4sIAPrx6WgC/02MSQoDMRDE/uKzCVVdvTlfC/P3mHgYoquQPkMYb7zgLDzQ1hyLP6H1T2+hjGPSKTWjrFCec9Q9U6GtOhSLTGoOtp3I97AiLTxg1NmdKvYpQwSLYiN2hnUkKa9EtKVtJ15f7IhVHboAAAA=</v>
      </c>
    </row>
    <row r="90" spans="4:6" x14ac:dyDescent="0.3">
      <c r="D90" t="str">
        <v>2025-09-23T04:15:30Z</v>
      </c>
      <c r="E90" t="str">
        <v>polygon_ust_cmt_zero_curve_usd</v>
      </c>
      <c r="F90" t="str">
        <v>H4sIAPrx6WgC/02NSQ4CQQwD/5JzC8VxVr6G+Ds900jgY8rlvIQqT32oI+YXyyWDG3D+07OEGYekg2xEWWn5Vuo7xjRzUtOmuxNL0HYkV43rVEHuTt5zxwqA2cMxgzcuS+cwAGH7F417oL3eH+E0Q065AAAA</v>
      </c>
    </row>
    <row r="91" spans="4:6" x14ac:dyDescent="0.3">
      <c r="D91" t="str">
        <v>2025-09-24T04:15:30Z</v>
      </c>
      <c r="E91" t="str">
        <v>polygon_ust_cmt_zero_curve_usd</v>
      </c>
      <c r="F91" t="str">
        <v>H4sIAPrx6WgC/03MQQ4CMQxD0bt0PUJx0tgJV0PcnTJlNHj75P8aYeNpD5sou0fMYzS2mP/JF4J5SpBge5Z3sLPzGPrlFs3OmWg6ONcJ5Xn1SnIaGAGeuX1KiOo0q1KIWCfrbYCLJbjTk4p+fwC7Ri2RugAAAA==</v>
      </c>
    </row>
    <row r="92" spans="4:6" x14ac:dyDescent="0.3">
      <c r="D92" t="str">
        <v>2025-09-25T04:15:30Z</v>
      </c>
      <c r="E92" t="str">
        <v>polygon_ust_cmt_zero_curve_usd</v>
      </c>
      <c r="F92" t="str">
        <v>H4sIAPrx6WgC/0WMyQ3DQAwDe9F7EVCizrQWuPcsvAZM/TTk/ISQLz5w47yxWDJ6wL43nCXMuAlLLRtNMPbPl9QjY3EMMeQ0m7lE2+LRdWkh3XfDuv32nVkY1DQGBnZl7RnmMFWt7sw9oaebXn+9QXkbugAAAA==</v>
      </c>
    </row>
    <row r="93" spans="4:6" x14ac:dyDescent="0.3">
      <c r="D93" t="str">
        <v>2025-09-26T04:15:30Z</v>
      </c>
      <c r="E93" t="str">
        <v>polygon_ust_cmt_zero_curve_usd</v>
      </c>
      <c r="F93" t="str">
        <v>H4sIAPrx6WgC/03MQQ7DMAhE0bt4bVXAwAC9WpW7F8WRWjYsPrzPgqy3vMTN5DeU2Kv1FPkv6nuBcRekWEDZ7QIhuVc+HNKKKVlRZrOH07J4wO4GKwhwzuIWz18YUMSA2q7R8yZ9mqrlWJ6tQ1Xx+gL03M5KvQAAAA==</v>
      </c>
    </row>
    <row r="94" spans="4:6" x14ac:dyDescent="0.3">
      <c r="D94" t="str">
        <v>2025-09-29T04:15:30Z</v>
      </c>
      <c r="E94" t="str">
        <v>polygon_ust_cmt_zero_curve_usd</v>
      </c>
      <c r="F94" t="str">
        <v>H4sIAPrx6WgC/0WMSwrDQAxD7zLrodjyV71ayd1rMoHIG6OH3m+ZrK98xAF5kxJ7UQ+Ze2PcyzJuYtkQb7IaqY296rFZYWpLl4JKzWZwPLoKZxqlDUbcurMKDWQp0jwB+qyEh83TqoVidLNUrz+XKBlWugAAAA==</v>
      </c>
    </row>
    <row r="95" spans="4:6" x14ac:dyDescent="0.3">
      <c r="D95" t="str">
        <v>2025-09-30T04:15:30Z</v>
      </c>
      <c r="E95" t="str">
        <v>polygon_ust_cmt_zero_curve_usd</v>
      </c>
      <c r="F95" t="str">
        <v>H4sIAPrx6WgC/02NQQoDMQwD/5JzKJIdW3a/VvbvDZuFVkcNGn2GY7zxwmL/xXKO5gEw/MI1h2fcxEXTcoaYucs59Mg8O00Zjm6CW8ayeHRKF5al15Li1p1VUECBBWxqvVfow0iUGtmVzv3I6wu3LQKyuQAAAA==</v>
      </c>
    </row>
    <row r="96" spans="4:6" x14ac:dyDescent="0.3">
      <c r="D96" t="str">
        <v>2025-10-01T04:15:30Z</v>
      </c>
      <c r="E96" t="str">
        <v>polygon_ust_cmt_zero_curve_usd</v>
      </c>
      <c r="F96" t="str">
        <v>H4sIAPrx6WgC/0WMyQ3DMAwEe+FbCLi8VkxrgXuPbMXO8sFjwPmIq7z1pQHqE1gPaWyg2v8kh3jlRVbHWYYI0mIIfzKv8Jqd0RURakMwLW9dKhOuk4yyunz7LbHOvTYWvP00QntDrAnVZsnsGczjC2ZAeZa7AAAA</v>
      </c>
    </row>
    <row r="97" spans="4:6" x14ac:dyDescent="0.3">
      <c r="D97" t="str">
        <v>2025-10-02T04:15:30Z</v>
      </c>
      <c r="E97" t="str">
        <v>polygon_ust_cmt_zero_curve_usd</v>
      </c>
      <c r="F97" t="str">
        <v>H4sIAPrx6WgC/02NSw7DQAhD7zLrqLKBAdyrVb17aRKp9Qak589rOdYTD4SZ/uTHEi8Aw0+MY3nuk8xldESbj+dL6i7zDM8K0NFpA9h2ZyQbv28k201n2xXaaKKspQKZNSnoYvMEtpqzVNOl9wdPoG5NuAAAAA==</v>
      </c>
    </row>
    <row r="98" spans="4:6" x14ac:dyDescent="0.3">
      <c r="D98" t="str">
        <v>2025-10-03T04:15:30Z</v>
      </c>
      <c r="E98" t="str">
        <v>polygon_ust_cmt_zero_curve_usd</v>
      </c>
      <c r="F98" t="str">
        <v>H4sIAPrx6WgC/03NyQ3DQAxD0V7mbASkdqW1wL1H9hhIdH3g12cp1hsvmGj/TvxYzQ2QPyiOaPhNGslKuDGVncfKJzbg1o6rKh0zYYk/OZfyMiES1rxre+UU1YA2qMm8VuhtJEgNcQ7YvDy/Yl4gpbkAAAA=</v>
      </c>
    </row>
    <row r="99" spans="4:6" x14ac:dyDescent="0.3">
      <c r="D99" t="str">
        <v>2025-10-06T04:15:30Z</v>
      </c>
      <c r="E99" t="str">
        <v>polygon_ust_cmt_zero_curve_usd</v>
      </c>
      <c r="F99" t="str">
        <v>H4sIAPrx6WgC/03MWwoDQQhE0b343YSyfLRma2H2HpkeSPTzUucjBnnjBSfxu0QsaT0F/0V9iWXcxbJpRKvNh/aS/WhTMrl71ERWjabFeLyqYlfAzbbz9s4sCDrDK1W7c0bok1TpiNZyxwajri+WGpO4ugAAAA==</v>
      </c>
    </row>
    <row r="100" spans="4:6" x14ac:dyDescent="0.3">
      <c r="D100" t="str">
        <v>2025-10-07T04:15:30Z</v>
      </c>
      <c r="E100" t="str">
        <v>polygon_ust_cmt_zero_curve_usd</v>
      </c>
      <c r="F100" t="str">
        <v>H4sIAPrx6WgC/02OOQ7EMBDD/uLaWEhzT762yN9j2CnClhCh/1CMCz8Y+4PEHM0jgI/wnEPDt9EooTEBq3b4HPnGNMJCWIHoKupSLPG3Z6hSa8kSy7YdPDvfuTBZBxyUNUMfx0WXqJKaVLsfI7AsUboAAAA=</v>
      </c>
    </row>
    <row r="101" spans="4:6" x14ac:dyDescent="0.3">
      <c r="D101" t="str">
        <v>2025-10-08T04:15:30Z</v>
      </c>
      <c r="E101" t="str">
        <v>polygon_ust_cmt_zero_curve_usd</v>
      </c>
      <c r="F101" t="str">
        <v>H4sIAPrx6WgC/03NSQ7DMAxD0bt4bRSkZGro1YrcvUacRbT90ONvOMYXHyz26yzmaJ4AvIJyDg/dxaPNxYaDxCrNkY/mkWImrMMXag6W6eFkiQ6ZkVVxc+dJNDdZy1mk1vaIPnEPJKTy1Ruk6voDV1APDboAAAA=</v>
      </c>
    </row>
    <row r="102" spans="4:6" x14ac:dyDescent="0.3">
      <c r="D102" t="e">
        <v>#N/A</v>
      </c>
      <c r="E102" t="e">
        <v>#N/A</v>
      </c>
      <c r="F102" t="e">
        <v>#N/A</v>
      </c>
    </row>
    <row r="103" spans="4:6" x14ac:dyDescent="0.3">
      <c r="D103" t="e">
        <v>#N/A</v>
      </c>
      <c r="E103" t="e">
        <v>#N/A</v>
      </c>
      <c r="F103" t="e">
        <v>#N/A</v>
      </c>
    </row>
    <row r="104" spans="4:6" x14ac:dyDescent="0.3">
      <c r="D104" t="e">
        <v>#N/A</v>
      </c>
      <c r="E104" t="e">
        <v>#N/A</v>
      </c>
      <c r="F104" t="e">
        <v>#N/A</v>
      </c>
    </row>
    <row r="105" spans="4:6" x14ac:dyDescent="0.3">
      <c r="D105" t="e">
        <v>#N/A</v>
      </c>
      <c r="E105" t="e">
        <v>#N/A</v>
      </c>
      <c r="F105" t="e">
        <v>#N/A</v>
      </c>
    </row>
    <row r="106" spans="4:6" x14ac:dyDescent="0.3">
      <c r="D106" t="e">
        <v>#N/A</v>
      </c>
      <c r="E106" t="e">
        <v>#N/A</v>
      </c>
      <c r="F106" t="e">
        <v>#N/A</v>
      </c>
    </row>
    <row r="107" spans="4:6" x14ac:dyDescent="0.3">
      <c r="D107" t="e">
        <v>#N/A</v>
      </c>
      <c r="E107" t="e">
        <v>#N/A</v>
      </c>
      <c r="F107" t="e">
        <v>#N/A</v>
      </c>
    </row>
    <row r="108" spans="4:6" x14ac:dyDescent="0.3">
      <c r="D108" t="e">
        <v>#N/A</v>
      </c>
      <c r="E108" t="e">
        <v>#N/A</v>
      </c>
      <c r="F108" t="e">
        <v>#N/A</v>
      </c>
    </row>
    <row r="109" spans="4:6" x14ac:dyDescent="0.3">
      <c r="D109" t="e">
        <v>#N/A</v>
      </c>
      <c r="E109" t="e">
        <v>#N/A</v>
      </c>
      <c r="F109" t="e">
        <v>#N/A</v>
      </c>
    </row>
    <row r="110" spans="4:6" x14ac:dyDescent="0.3">
      <c r="D110" t="e">
        <v>#N/A</v>
      </c>
      <c r="E110" t="e">
        <v>#N/A</v>
      </c>
      <c r="F110" t="e">
        <v>#N/A</v>
      </c>
    </row>
    <row r="111" spans="4:6" x14ac:dyDescent="0.3">
      <c r="D111" t="e">
        <v>#N/A</v>
      </c>
      <c r="E111" t="e">
        <v>#N/A</v>
      </c>
      <c r="F111" t="e">
        <v>#N/A</v>
      </c>
    </row>
    <row r="112" spans="4:6" x14ac:dyDescent="0.3">
      <c r="D112" t="e">
        <v>#N/A</v>
      </c>
      <c r="E112" t="e">
        <v>#N/A</v>
      </c>
      <c r="F112" t="e">
        <v>#N/A</v>
      </c>
    </row>
    <row r="113" spans="4:6" x14ac:dyDescent="0.3">
      <c r="D113" t="e">
        <v>#N/A</v>
      </c>
      <c r="E113" t="e">
        <v>#N/A</v>
      </c>
      <c r="F113" t="e">
        <v>#N/A</v>
      </c>
    </row>
    <row r="114" spans="4:6" x14ac:dyDescent="0.3">
      <c r="D114" t="e">
        <v>#N/A</v>
      </c>
      <c r="E114" t="e">
        <v>#N/A</v>
      </c>
      <c r="F114" t="e">
        <v>#N/A</v>
      </c>
    </row>
    <row r="115" spans="4:6" x14ac:dyDescent="0.3">
      <c r="D115" t="e">
        <v>#N/A</v>
      </c>
      <c r="E115" t="e">
        <v>#N/A</v>
      </c>
      <c r="F115" t="e">
        <v>#N/A</v>
      </c>
    </row>
    <row r="116" spans="4:6" x14ac:dyDescent="0.3">
      <c r="D116" t="e">
        <v>#N/A</v>
      </c>
      <c r="E116" t="e">
        <v>#N/A</v>
      </c>
      <c r="F116" t="e">
        <v>#N/A</v>
      </c>
    </row>
    <row r="117" spans="4:6" x14ac:dyDescent="0.3">
      <c r="D117" t="e">
        <v>#N/A</v>
      </c>
      <c r="E117" t="e">
        <v>#N/A</v>
      </c>
      <c r="F117" t="e">
        <v>#N/A</v>
      </c>
    </row>
    <row r="118" spans="4:6" x14ac:dyDescent="0.3">
      <c r="D118" t="e">
        <v>#N/A</v>
      </c>
      <c r="E118" t="e">
        <v>#N/A</v>
      </c>
      <c r="F118" t="e">
        <v>#N/A</v>
      </c>
    </row>
    <row r="119" spans="4:6" x14ac:dyDescent="0.3">
      <c r="D119" t="e">
        <v>#N/A</v>
      </c>
      <c r="E119" t="e">
        <v>#N/A</v>
      </c>
      <c r="F119" t="e">
        <v>#N/A</v>
      </c>
    </row>
    <row r="120" spans="4:6" x14ac:dyDescent="0.3">
      <c r="D120" t="e">
        <v>#N/A</v>
      </c>
      <c r="E120" t="e">
        <v>#N/A</v>
      </c>
      <c r="F120" t="e">
        <v>#N/A</v>
      </c>
    </row>
    <row r="121" spans="4:6" x14ac:dyDescent="0.3">
      <c r="D121" t="e">
        <v>#N/A</v>
      </c>
      <c r="E121" t="e">
        <v>#N/A</v>
      </c>
      <c r="F121" t="e">
        <v>#N/A</v>
      </c>
    </row>
    <row r="122" spans="4:6" x14ac:dyDescent="0.3">
      <c r="D122" t="e">
        <v>#N/A</v>
      </c>
      <c r="E122" t="e">
        <v>#N/A</v>
      </c>
      <c r="F122" t="e">
        <v>#N/A</v>
      </c>
    </row>
    <row r="123" spans="4:6" x14ac:dyDescent="0.3">
      <c r="D123" t="e">
        <v>#N/A</v>
      </c>
      <c r="E123" t="e">
        <v>#N/A</v>
      </c>
      <c r="F123" t="e">
        <v>#N/A</v>
      </c>
    </row>
    <row r="124" spans="4:6" x14ac:dyDescent="0.3">
      <c r="D124" t="e">
        <v>#N/A</v>
      </c>
      <c r="E124" t="e">
        <v>#N/A</v>
      </c>
      <c r="F124" t="e">
        <v>#N/A</v>
      </c>
    </row>
    <row r="125" spans="4:6" x14ac:dyDescent="0.3">
      <c r="D125" t="e">
        <v>#N/A</v>
      </c>
      <c r="E125" t="e">
        <v>#N/A</v>
      </c>
      <c r="F125" t="e">
        <v>#N/A</v>
      </c>
    </row>
    <row r="126" spans="4:6" x14ac:dyDescent="0.3">
      <c r="D126" t="e">
        <v>#N/A</v>
      </c>
      <c r="E126" t="e">
        <v>#N/A</v>
      </c>
      <c r="F126" t="e">
        <v>#N/A</v>
      </c>
    </row>
    <row r="127" spans="4:6" x14ac:dyDescent="0.3">
      <c r="D127" t="e">
        <v>#N/A</v>
      </c>
      <c r="E127" t="e">
        <v>#N/A</v>
      </c>
      <c r="F127" t="e">
        <v>#N/A</v>
      </c>
    </row>
    <row r="128" spans="4:6" x14ac:dyDescent="0.3">
      <c r="D128" t="e">
        <v>#N/A</v>
      </c>
      <c r="E128" t="e">
        <v>#N/A</v>
      </c>
      <c r="F128" t="e">
        <v>#N/A</v>
      </c>
    </row>
    <row r="129" spans="4:6" x14ac:dyDescent="0.3">
      <c r="D129" t="e">
        <v>#N/A</v>
      </c>
      <c r="E129" t="e">
        <v>#N/A</v>
      </c>
      <c r="F129" t="e">
        <v>#N/A</v>
      </c>
    </row>
    <row r="130" spans="4:6" x14ac:dyDescent="0.3">
      <c r="D130" t="e">
        <v>#N/A</v>
      </c>
      <c r="E130" t="e">
        <v>#N/A</v>
      </c>
      <c r="F130" t="e">
        <v>#N/A</v>
      </c>
    </row>
    <row r="131" spans="4:6" x14ac:dyDescent="0.3">
      <c r="D131" t="e">
        <v>#N/A</v>
      </c>
      <c r="E131" t="e">
        <v>#N/A</v>
      </c>
      <c r="F131" t="e">
        <v>#N/A</v>
      </c>
    </row>
    <row r="132" spans="4:6" x14ac:dyDescent="0.3">
      <c r="D132" t="e">
        <v>#N/A</v>
      </c>
      <c r="E132" t="e">
        <v>#N/A</v>
      </c>
      <c r="F132" t="e">
        <v>#N/A</v>
      </c>
    </row>
    <row r="133" spans="4:6" x14ac:dyDescent="0.3">
      <c r="D133" t="e">
        <v>#N/A</v>
      </c>
      <c r="E133" t="e">
        <v>#N/A</v>
      </c>
      <c r="F133" t="e">
        <v>#N/A</v>
      </c>
    </row>
    <row r="134" spans="4:6" x14ac:dyDescent="0.3">
      <c r="D134" t="e">
        <v>#N/A</v>
      </c>
      <c r="E134" t="e">
        <v>#N/A</v>
      </c>
      <c r="F134" t="e">
        <v>#N/A</v>
      </c>
    </row>
    <row r="135" spans="4:6" x14ac:dyDescent="0.3">
      <c r="D135" t="e">
        <v>#N/A</v>
      </c>
      <c r="E135" t="e">
        <v>#N/A</v>
      </c>
      <c r="F135" t="e">
        <v>#N/A</v>
      </c>
    </row>
    <row r="136" spans="4:6" x14ac:dyDescent="0.3">
      <c r="D136" t="e">
        <v>#N/A</v>
      </c>
      <c r="E136" t="e">
        <v>#N/A</v>
      </c>
      <c r="F136" t="e">
        <v>#N/A</v>
      </c>
    </row>
    <row r="137" spans="4:6" x14ac:dyDescent="0.3">
      <c r="D137" t="e">
        <v>#N/A</v>
      </c>
      <c r="E137" t="e">
        <v>#N/A</v>
      </c>
      <c r="F137" t="e">
        <v>#N/A</v>
      </c>
    </row>
    <row r="138" spans="4:6" x14ac:dyDescent="0.3">
      <c r="D138" t="e">
        <v>#N/A</v>
      </c>
      <c r="E138" t="e">
        <v>#N/A</v>
      </c>
      <c r="F138" t="e">
        <v>#N/A</v>
      </c>
    </row>
    <row r="139" spans="4:6" x14ac:dyDescent="0.3">
      <c r="D139" t="e">
        <v>#N/A</v>
      </c>
      <c r="E139" t="e">
        <v>#N/A</v>
      </c>
      <c r="F139" t="e">
        <v>#N/A</v>
      </c>
    </row>
    <row r="140" spans="4:6" x14ac:dyDescent="0.3">
      <c r="D140" t="e">
        <v>#N/A</v>
      </c>
      <c r="E140" t="e">
        <v>#N/A</v>
      </c>
      <c r="F140" t="e">
        <v>#N/A</v>
      </c>
    </row>
    <row r="141" spans="4:6" x14ac:dyDescent="0.3">
      <c r="D141" t="e">
        <v>#N/A</v>
      </c>
      <c r="E141" t="e">
        <v>#N/A</v>
      </c>
      <c r="F141" t="e">
        <v>#N/A</v>
      </c>
    </row>
    <row r="142" spans="4:6" x14ac:dyDescent="0.3">
      <c r="D142" t="e">
        <v>#N/A</v>
      </c>
      <c r="E142" t="e">
        <v>#N/A</v>
      </c>
      <c r="F142" t="e">
        <v>#N/A</v>
      </c>
    </row>
    <row r="143" spans="4:6" x14ac:dyDescent="0.3">
      <c r="D143" t="e">
        <v>#N/A</v>
      </c>
      <c r="E143" t="e">
        <v>#N/A</v>
      </c>
      <c r="F143" t="e">
        <v>#N/A</v>
      </c>
    </row>
    <row r="144" spans="4:6" x14ac:dyDescent="0.3">
      <c r="D144" t="e">
        <v>#N/A</v>
      </c>
      <c r="E144" t="e">
        <v>#N/A</v>
      </c>
      <c r="F144" t="e">
        <v>#N/A</v>
      </c>
    </row>
    <row r="145" spans="4:6" x14ac:dyDescent="0.3">
      <c r="D145" t="e">
        <v>#N/A</v>
      </c>
      <c r="E145" t="e">
        <v>#N/A</v>
      </c>
      <c r="F145" t="e">
        <v>#N/A</v>
      </c>
    </row>
    <row r="146" spans="4:6" x14ac:dyDescent="0.3">
      <c r="D146" t="e">
        <v>#N/A</v>
      </c>
      <c r="E146" t="e">
        <v>#N/A</v>
      </c>
      <c r="F146" t="e">
        <v>#N/A</v>
      </c>
    </row>
    <row r="147" spans="4:6" x14ac:dyDescent="0.3">
      <c r="D147" t="e">
        <v>#N/A</v>
      </c>
      <c r="E147" t="e">
        <v>#N/A</v>
      </c>
      <c r="F147" t="e">
        <v>#N/A</v>
      </c>
    </row>
    <row r="148" spans="4:6" x14ac:dyDescent="0.3">
      <c r="D148" t="e">
        <v>#N/A</v>
      </c>
      <c r="E148" t="e">
        <v>#N/A</v>
      </c>
      <c r="F148" t="e">
        <v>#N/A</v>
      </c>
    </row>
    <row r="149" spans="4:6" x14ac:dyDescent="0.3">
      <c r="D149" t="e">
        <v>#N/A</v>
      </c>
      <c r="E149" t="e">
        <v>#N/A</v>
      </c>
      <c r="F149" t="e">
        <v>#N/A</v>
      </c>
    </row>
    <row r="150" spans="4:6" x14ac:dyDescent="0.3">
      <c r="D150" t="e">
        <v>#N/A</v>
      </c>
      <c r="E150" t="e">
        <v>#N/A</v>
      </c>
      <c r="F150" t="e">
        <v>#N/A</v>
      </c>
    </row>
    <row r="151" spans="4:6" x14ac:dyDescent="0.3">
      <c r="D151" t="e">
        <v>#N/A</v>
      </c>
      <c r="E151" t="e">
        <v>#N/A</v>
      </c>
      <c r="F151" t="e">
        <v>#N/A</v>
      </c>
    </row>
    <row r="152" spans="4:6" x14ac:dyDescent="0.3">
      <c r="D152" t="e">
        <v>#N/A</v>
      </c>
      <c r="E152" t="e">
        <v>#N/A</v>
      </c>
      <c r="F152" t="e">
        <v>#N/A</v>
      </c>
    </row>
    <row r="153" spans="4:6" x14ac:dyDescent="0.3">
      <c r="D153" t="e">
        <v>#N/A</v>
      </c>
      <c r="E153" t="e">
        <v>#N/A</v>
      </c>
      <c r="F153" t="e">
        <v>#N/A</v>
      </c>
    </row>
    <row r="154" spans="4:6" x14ac:dyDescent="0.3">
      <c r="D154" t="e">
        <v>#N/A</v>
      </c>
      <c r="E154" t="e">
        <v>#N/A</v>
      </c>
      <c r="F154" t="e">
        <v>#N/A</v>
      </c>
    </row>
    <row r="155" spans="4:6" x14ac:dyDescent="0.3">
      <c r="D155" t="e">
        <v>#N/A</v>
      </c>
      <c r="E155" t="e">
        <v>#N/A</v>
      </c>
      <c r="F155" t="e">
        <v>#N/A</v>
      </c>
    </row>
    <row r="156" spans="4:6" x14ac:dyDescent="0.3">
      <c r="D156" t="e">
        <v>#N/A</v>
      </c>
      <c r="E156" t="e">
        <v>#N/A</v>
      </c>
      <c r="F156" t="e">
        <v>#N/A</v>
      </c>
    </row>
    <row r="157" spans="4:6" x14ac:dyDescent="0.3">
      <c r="D157" t="e">
        <v>#N/A</v>
      </c>
      <c r="E157" t="e">
        <v>#N/A</v>
      </c>
      <c r="F157" t="e">
        <v>#N/A</v>
      </c>
    </row>
    <row r="158" spans="4:6" x14ac:dyDescent="0.3">
      <c r="D158" t="e">
        <v>#N/A</v>
      </c>
      <c r="E158" t="e">
        <v>#N/A</v>
      </c>
      <c r="F158" t="e">
        <v>#N/A</v>
      </c>
    </row>
    <row r="159" spans="4:6" x14ac:dyDescent="0.3">
      <c r="D159" t="e">
        <v>#N/A</v>
      </c>
      <c r="E159" t="e">
        <v>#N/A</v>
      </c>
      <c r="F159" t="e">
        <v>#N/A</v>
      </c>
    </row>
    <row r="160" spans="4:6" x14ac:dyDescent="0.3">
      <c r="D160" t="e">
        <v>#N/A</v>
      </c>
      <c r="E160" t="e">
        <v>#N/A</v>
      </c>
      <c r="F160" t="e">
        <v>#N/A</v>
      </c>
    </row>
    <row r="169" spans="4:10" x14ac:dyDescent="0.3">
      <c r="D169" t="s">
        <v>13</v>
      </c>
      <c r="H169" t="s">
        <v>18</v>
      </c>
    </row>
    <row r="171" spans="4:10" x14ac:dyDescent="0.3">
      <c r="D171" t="str">
        <f t="array" ref="D171:F440">_xll.MS.GET_DATA_NODE(D6,D7,D8)</f>
        <v>time_index</v>
      </c>
      <c r="E171" t="str">
        <v>unique_identifier</v>
      </c>
      <c r="F171" t="str">
        <v>curve</v>
      </c>
      <c r="H171" t="str">
        <f t="array" ref="H171:J182">_xll.MS.DECOMPRESS_CURVE(F31)</f>
        <v>days_to_maturity</v>
      </c>
      <c r="I171" t="str">
        <v>rate</v>
      </c>
      <c r="J171" t="e">
        <v>#N/A</v>
      </c>
    </row>
    <row r="172" spans="4:10" x14ac:dyDescent="0.3">
      <c r="D172" t="str">
        <v>2025-06-30T04:15:30Z</v>
      </c>
      <c r="E172" t="str">
        <v>polygon_ust_cmt_zero_curve_usd</v>
      </c>
      <c r="F172" t="str">
        <v>H4sIAPrx6WgC/02OQQoDMQwD/5JzKLLkOFa/Vvr3LptCq5sYRug1hPHEA8ntX5hzOA7IwF88h2rdRPYuFi0BxT3H/o6pw6sIERW1OEc0j5QhNFZ1JtJi3XtHWzSbV4vFhq4PAR8WwXJvKyil6/0BtVJFW7kAAAA=</v>
      </c>
      <c r="H172" t="str">
        <v>30</v>
      </c>
      <c r="I172">
        <v>4.2799999999999241E-2</v>
      </c>
      <c r="J172" t="e">
        <v>#N/A</v>
      </c>
    </row>
    <row r="173" spans="4:10" x14ac:dyDescent="0.3">
      <c r="D173" t="str">
        <v>2025-07-01T04:15:30Z</v>
      </c>
      <c r="E173" t="str">
        <v>polygon_ust_cmt_zero_curve_usd</v>
      </c>
      <c r="F173" t="str">
        <v>H4sIAPrx6WgC/02MSQoDQQzE/uJzE1wur/lamL+nhx5IdBXSR6jy1pc6MT/MlwyOcP3DsQ0zjlI0EEXlEMZcUs+O3ayYSvdMNyxB21Nh9ihYZOfc0f6dKoiqrAHblX5XOsdh/609kLSMrL6+58a/YrsAAAA=</v>
      </c>
      <c r="H173" t="str">
        <v>91</v>
      </c>
      <c r="I173">
        <v>4.4100000000000091E-2</v>
      </c>
      <c r="J173" t="e">
        <v>#N/A</v>
      </c>
    </row>
    <row r="174" spans="4:10" x14ac:dyDescent="0.3">
      <c r="D174" t="str">
        <v>2025-07-02T04:15:30Z</v>
      </c>
      <c r="E174" t="str">
        <v>polygon_ust_cmt_zero_curve_usd</v>
      </c>
      <c r="F174" t="str">
        <v>H4sIAPrx6WgC/02OQQ4CMQwD/9LzCtlx0jp8DfF3KrpC+DqakV9DGE88kBJ+Y8xrNA9I4m99Dc06BGERFibgDdbdkq0qZ23gWb1jdNxSxOwVaDuzzW/uaCVz36BQBZe2hT6MTK5grFYt5fL7A3/pU1y5AAAA</v>
      </c>
      <c r="H174" t="str">
        <v>365</v>
      </c>
      <c r="I174">
        <v>3.9976262933006268E-2</v>
      </c>
      <c r="J174" t="e">
        <v>#N/A</v>
      </c>
    </row>
    <row r="175" spans="4:10" x14ac:dyDescent="0.3">
      <c r="D175" t="str">
        <v>2025-07-03T04:15:30Z</v>
      </c>
      <c r="E175" t="str">
        <v>polygon_ust_cmt_zero_curve_usd</v>
      </c>
      <c r="F175" t="str">
        <v>H4sIAPrx6WgC/02NOQ4DMQwD/6LaCMiVqCNfC/L3GPEWq4IFB0N9zGFvvBAe8zguGx4QfPRVyzx1CAk6r05kpPuyusd8ehpqRTWu6FjGvm7LMUROO1PQ/PeOppD7zt1KmVvCHESquvcTInJU3x8zp9FEuAAAAA==</v>
      </c>
      <c r="H175" t="str">
        <v>730</v>
      </c>
      <c r="I175">
        <v>3.8195620320616519E-2</v>
      </c>
      <c r="J175" t="e">
        <v>#N/A</v>
      </c>
    </row>
    <row r="176" spans="4:10" x14ac:dyDescent="0.3">
      <c r="D176" t="str">
        <v>2025-07-07T04:15:30Z</v>
      </c>
      <c r="E176" t="str">
        <v>polygon_ust_cmt_zero_curve_usd</v>
      </c>
      <c r="F176" t="str">
        <v>H4sIAPrx6WgC/0WNSQ4DQQwC/+JzK4K28ZKvRfl7RuksXIuChznsjhvCC79wa9nwgOD8U7XMU4dwwzMxORr1XlbfMZAcqUtEB5ex90dyd2Rkh0cR+Z47luSqypmrIOB6IuYwshtN+LSQmf18Ad1+50S5AAAA</v>
      </c>
      <c r="H176" t="str">
        <v>1825</v>
      </c>
      <c r="I176">
        <v>4.1308056844049326E-2</v>
      </c>
      <c r="J176" t="e">
        <v>#N/A</v>
      </c>
    </row>
    <row r="177" spans="4:10" x14ac:dyDescent="0.3">
      <c r="D177" t="str">
        <v>2025-07-08T04:15:30Z</v>
      </c>
      <c r="E177" t="str">
        <v>polygon_ust_cmt_zero_curve_usd</v>
      </c>
      <c r="F177" t="str">
        <v>H4sIAPrx6WgC/03MSw5CQQhE0b0w7hgKKD5uzbh3O7YvT4ac1H2Jqzz1oeGc+8yXDA4E/qBqiSePgNAKpjWUnUvqiik0zXyapjQuQdtv5LUxyNSxpse3d2b7ydyp7KrwyG3QOQhM7WmOaXsQ8/4ApFMOe7sAAAA=</v>
      </c>
      <c r="H177" t="str">
        <v>3650</v>
      </c>
      <c r="I177">
        <v>5.2928265015280342E-2</v>
      </c>
      <c r="J177" t="e">
        <v>#N/A</v>
      </c>
    </row>
    <row r="178" spans="4:10" x14ac:dyDescent="0.3">
      <c r="D178" t="str">
        <v>2025-07-09T04:15:30Z</v>
      </c>
      <c r="E178" t="str">
        <v>polygon_ust_cmt_zero_curve_usd</v>
      </c>
      <c r="F178" t="str">
        <v>H4sIAPrx6WgC/02MSwrDUAwD7+L1o1iWv71a6d2b5AVSMbth9BGqvPWlzphnxiWDLRx/omoJM7YBFIR1anrySOo+42QbowcNc/claLsj69CDNDLNNK6/nYVzSgs+k6VxOuhsCWR0NfPEKur7A+lg4NS7AAAA</v>
      </c>
      <c r="H178" t="str">
        <v>10950</v>
      </c>
      <c r="I178">
        <v>0.1126987931233496</v>
      </c>
      <c r="J178" t="e">
        <v>#N/A</v>
      </c>
    </row>
    <row r="179" spans="4:10" x14ac:dyDescent="0.3">
      <c r="D179" t="str">
        <v>2025-07-10T04:15:30Z</v>
      </c>
      <c r="E179" t="str">
        <v>polygon_ust_cmt_zero_curve_usd</v>
      </c>
      <c r="F179" t="str">
        <v>H4sIAPrx6WgC/03MWwoDQQhE0b30dxMsLV+ztZC9R9IDGT/rcnwvk3XJS2je/1Pbq3EC8QiZe1n4KYDAoBUSDBuS9zPrKDWvRkFJ7oXSG2kny5JJd1X9vTvKZ7FUEQwZ6sOkTwS8Zg5hE2zLzxerABUfugAAAA==</v>
      </c>
      <c r="H179" t="e">
        <v>#N/A</v>
      </c>
      <c r="I179" t="e">
        <v>#N/A</v>
      </c>
      <c r="J179" t="e">
        <v>#N/A</v>
      </c>
    </row>
    <row r="180" spans="4:10" x14ac:dyDescent="0.3">
      <c r="D180" t="str">
        <v>2025-07-11T04:15:30Z</v>
      </c>
      <c r="E180" t="str">
        <v>polygon_ust_cmt_zero_curve_usd</v>
      </c>
      <c r="F180" t="str">
        <v>H4sIAPrx6WgC/02NQQ4CMQwD/9LzCtlx3CZ8DfF3KipW+Dqa8WsI44kHUgv3GL5G84Ak/tbX0PQhFKZmdLtUnnmN9auBRHBKpfYGrPD9E9XJhhArv7kjeWfQoLcpa20LfRgDtapMu8NGvj90QTJSuQAAAA==</v>
      </c>
      <c r="H180" t="e">
        <v>#N/A</v>
      </c>
      <c r="I180" t="e">
        <v>#N/A</v>
      </c>
      <c r="J180" t="e">
        <v>#N/A</v>
      </c>
    </row>
    <row r="181" spans="4:10" x14ac:dyDescent="0.3">
      <c r="D181" t="str">
        <v>2025-07-14T04:15:30Z</v>
      </c>
      <c r="E181" t="str">
        <v>polygon_ust_cmt_zero_curve_usd</v>
      </c>
      <c r="F181" t="str">
        <v>H4sIAPrx6WgC/0WNSQ4CQQwD/5JzC8VZ23wN8Xcimhms3Cplv8RVnvrQ8NY7sFxCHBDgP91LvPIQmHqVspjMbUv6KlMAzNyd0B1Ygm0/ybNpFbQMbrVv3bHmP4rgzAerOZbyMBgyZgnwUM69P3dQiz+5AAAA</v>
      </c>
      <c r="H181" t="e">
        <v>#N/A</v>
      </c>
      <c r="I181" t="e">
        <v>#N/A</v>
      </c>
      <c r="J181" t="e">
        <v>#N/A</v>
      </c>
    </row>
    <row r="182" spans="4:10" x14ac:dyDescent="0.3">
      <c r="D182" t="str">
        <v>2025-07-15T04:15:30Z</v>
      </c>
      <c r="E182" t="str">
        <v>polygon_ust_cmt_zero_curve_usd</v>
      </c>
      <c r="F182" t="str">
        <v>H4sIAPrx6WgC/03NSw5CMQxD0b1kXKF87YStobd3CgVBpkfXeUio3PWmGTW/81gydiDtD8glgTpisDBXeE1YAEv4XVPsjmmKyugt1v6pMr2NHO8kGe+9UxUmdb+ocO18RTqHzH0A9jipVajrCWDVzWG5AAAA</v>
      </c>
      <c r="H182" t="e">
        <v>#N/A</v>
      </c>
      <c r="I182" t="e">
        <v>#N/A</v>
      </c>
      <c r="J182" t="e">
        <v>#N/A</v>
      </c>
    </row>
    <row r="183" spans="4:10" x14ac:dyDescent="0.3">
      <c r="D183" t="str">
        <v>2025-07-16T04:15:30Z</v>
      </c>
      <c r="E183" t="str">
        <v>polygon_ust_cmt_zero_curve_usd</v>
      </c>
      <c r="F183" t="str">
        <v>H4sIAPrx6WgC/02OQQ4DMQgD/5JzVNkYCPRr1f69abNS64MPjMbiNYTxxAOu6F9MczQPcOIvPYcyDqHBgWVlQpJzrHtMXZ2yWhmei4w5WHZb2oflAoUKKb+Dx4vcX8RuUu7lvj30gbSPWEjzBMN0vQGRdyyWvAAAAA==</v>
      </c>
    </row>
    <row r="184" spans="4:10" x14ac:dyDescent="0.3">
      <c r="D184" t="str">
        <v>2025-07-17T04:15:30Z</v>
      </c>
      <c r="E184" t="str">
        <v>polygon_ust_cmt_zero_curve_usd</v>
      </c>
      <c r="F184" t="str">
        <v>H4sIAPrx6WgC/02NSw7CUAwD75L1E4rjfLka6t0pfUXg7WjGL6HKUx/qjPnNuGSwgUP/NkuYsQlcuyyciGFNLqlvTQ1p9EpvB8uXoO3WOF6AVXSEKq7g1iJ9LOa8ITr5sXQ2gzG0T1aMpimON1cBnAy7AAAA</v>
      </c>
    </row>
    <row r="185" spans="4:10" x14ac:dyDescent="0.3">
      <c r="D185" t="str">
        <v>2025-07-18T04:15:30Z</v>
      </c>
      <c r="E185" t="str">
        <v>polygon_ust_cmt_zero_curve_usd</v>
      </c>
      <c r="F185" t="str">
        <v>H4sIAPrx6WgC/02NMQ4DQQgD/7L1KcILGJyvRfl7UPaKc4dGM3yW23rby8JDj+FawgFhjwXiWs48CHu8dJpcfa26W3OIkwPA7gHofRvu3pSJWfKsf+tIScsqKMpAMMcyHYbtAQvtJoPz6/sDXnzfbrcAAAA=</v>
      </c>
    </row>
    <row r="186" spans="4:10" x14ac:dyDescent="0.3">
      <c r="D186" t="str">
        <v>2025-07-21T04:15:30Z</v>
      </c>
      <c r="E186" t="str">
        <v>polygon_ust_cmt_zero_curve_usd</v>
      </c>
      <c r="F186" t="str">
        <v>H4sIAPrx6WgC/02NMQ4DQQgD/0K9ijBgFvK16P4ekr3iXDIe8xFXeetLw6MfwZLGAQF9pJd48hCdoiPVlJVlS/Y95s2dc98gkzkEZbdk27GzwhLGxH/uWCRmMyI6QO+fpX0YTGNeVDdRPvj6AvP8sKe5AAAA</v>
      </c>
    </row>
    <row r="187" spans="4:10" x14ac:dyDescent="0.3">
      <c r="D187" t="str">
        <v>2025-07-22T04:15:30Z</v>
      </c>
      <c r="E187" t="str">
        <v>polygon_ust_cmt_zero_curve_usd</v>
      </c>
      <c r="F187" t="str">
        <v>H4sIAPrx6WgC/02MSQ4CQQwD/5JzCzlxVr6G+Ds99Ajho8vllxDyxAPOwi9qsWT0AFf8ZZYw4xD05DS8tDi+pO4vDtPGylMNLG6kbbdkzEEQ1yTp8f07XniyIzvLurP78jAHqvZW1Zy6G/V8fwDpWSrguwAAAA==</v>
      </c>
    </row>
    <row r="188" spans="4:10" x14ac:dyDescent="0.3">
      <c r="D188" t="str">
        <v>2025-07-23T04:15:30Z</v>
      </c>
      <c r="E188" t="str">
        <v>polygon_ust_cmt_zero_curve_usd</v>
      </c>
      <c r="F188" t="str">
        <v>H4sIAPrx6WgC/02NSw5CQRAC7zLrFwP0b9qrGe9ux3kxsmBDqngtw3riAbfCL1Rcq3kGJ/7S17KMs1BwoLRlSPJadcusd6dpV4ZnkWPj1k0ZGqoyJZUeX9/BIqyd0aqBpodCn22uqmSq+UoI8f4AiwAl/7oAAAA=</v>
      </c>
    </row>
    <row r="189" spans="4:10" x14ac:dyDescent="0.3">
      <c r="D189" t="str">
        <v>2025-07-24T04:15:30Z</v>
      </c>
      <c r="E189" t="str">
        <v>polygon_ust_cmt_zero_curve_usd</v>
      </c>
      <c r="F189" t="str">
        <v>H4sIAPrx6WgC/0WOSQ4CMRAD/5JzhOx2euNriL8TEWbwtVQlv4YwnnhgKXGP5nM0D1js/zLnUPghXChlyq3bWdvJqwZjIKxrM9LmYNnPkm9D0goK7G/vWO61LArJRKp3j+jDaKjeT9yjPYPx/gDaDLVsugAAAA==</v>
      </c>
    </row>
    <row r="190" spans="4:10" x14ac:dyDescent="0.3">
      <c r="D190" t="str">
        <v>2025-07-25T04:15:30Z</v>
      </c>
      <c r="E190" t="str">
        <v>polygon_ust_cmt_zero_curve_usd</v>
      </c>
      <c r="F190" t="str">
        <v>H4sIAPrx6WgC/0WOSQ4CQQwD/5JzC9nZw9cQf6dFM4MPPqRUVl5ikCcecCvcocaS4QHO+adqiWUcQkOC0YBmF31JXWtQ1tSg07h7CVt/limYuU3UHjT7Dh4twnK89t0znPsJYg4ju9WoGnRPnXh/ANp8Cea7AAAA</v>
      </c>
    </row>
    <row r="191" spans="4:10" x14ac:dyDescent="0.3">
      <c r="D191" t="str">
        <v>2025-07-28T04:15:30Z</v>
      </c>
      <c r="E191" t="str">
        <v>polygon_ust_cmt_zero_curve_usd</v>
      </c>
      <c r="F191" t="str">
        <v>H4sIAPrx6WgC/02Nyw1DQQgDe+G8igzGC6S1KL3ns4n0fB3N+GGE3XFDci6LWDZ+QOKy9FzGrYOc2OUIqKOUe1n9cwhvRuwpasBl3vGzyNC0KE5J/e0dSyrgo3Rwj95XjjnMw1Fd6T2S0M8XV7gTKroAAAA=</v>
      </c>
    </row>
    <row r="192" spans="4:10" x14ac:dyDescent="0.3">
      <c r="D192" t="str">
        <v>2025-07-29T04:15:30Z</v>
      </c>
      <c r="E192" t="str">
        <v>polygon_ust_cmt_zero_curve_usd</v>
      </c>
      <c r="F192" t="str">
        <v>H4sIAPrx6WgC/03Muw3DMBRD0V1UGwHJ989qQXaPArkw24vDzzKsN15wm8ekaw1PcDzm9GtZxkkkBFhZQGN1rbrfbLKVU1l/YdqIrVspYWoqxeqMc3hcuKtg2bkPpxDbYU4kE4gEYdux+/sDwVlgP70AAAA=</v>
      </c>
    </row>
    <row r="193" spans="4:6" x14ac:dyDescent="0.3">
      <c r="D193" t="str">
        <v>2025-07-30T04:15:30Z</v>
      </c>
      <c r="E193" t="str">
        <v>polygon_ust_cmt_zero_curve_usd</v>
      </c>
      <c r="F193" t="str">
        <v>H4sIAPrx6WgC/2WOQRJCMQhD78K64xASSvFqjne336ob2b7khYfR7e43l+C/Q+Swxj9w72GceQgmqHIVvJkaVl+ZJyfDV0SnumsYVnxaJKAsNBUo6C08vSu7Mqorp6C9tc2HYUfX9YyoSfbzBWwgfn26AAAA</v>
      </c>
    </row>
    <row r="194" spans="4:6" x14ac:dyDescent="0.3">
      <c r="D194" t="str">
        <v>2025-07-31T04:15:30Z</v>
      </c>
      <c r="E194" t="str">
        <v>polygon_ust_cmt_zero_curve_usd</v>
      </c>
      <c r="F194" t="str">
        <v>H4sIAPrx6WgC/02Myw1CMRDEesk5QjM7+6U1RO8g8kD4atmPJaw7bnAf/KBpr+EliD9mL2UcQ0eXhYsxqsm96ntDONhhnaEZ7sW2q5IoQ5aVWw3zMzxZeFtltssmGvJ3hzmSLLHTK5SoUjxf+4GF27wAAAA=</v>
      </c>
    </row>
    <row r="195" spans="4:6" x14ac:dyDescent="0.3">
      <c r="D195" t="str">
        <v>2025-08-01T04:15:30Z</v>
      </c>
      <c r="E195" t="str">
        <v>polygon_ust_cmt_zero_curve_usd</v>
      </c>
      <c r="F195" t="str">
        <v>H4sIAPrx6WgC/0XMQRLDMAhD0bt47elICAz0ap3cvWmcSdk+vj5DGG+84N54jqY5mhsUf8APtOISNaIQK8FSlc2R95iyGg5mpySuOVi2IyeK6HS3jk76tbezsAIjTWFRKZ4ZehvpSbPzw0wK7+MLVr0Kf7oAAAA=</v>
      </c>
    </row>
    <row r="196" spans="4:6" x14ac:dyDescent="0.3">
      <c r="D196" t="str">
        <v>2025-08-04T04:15:30Z</v>
      </c>
      <c r="E196" t="str">
        <v>polygon_ust_cmt_zero_curve_usd</v>
      </c>
      <c r="F196" t="str">
        <v>H4sIAPrx6WgC/0WMSQ7DQAzD/uLzoLAtL3K+VvTvHWQCRFeK/ApULv1oRM87tyVjByD1nWMJKm8CZrRmDzLcikv6iaE5Ezqk9SazxOhHCiVm39lOsuzOHSu9Chw03Azh29I5zCy8rRNguavO7w94kiUFuQAAAA==</v>
      </c>
    </row>
    <row r="197" spans="4:6" x14ac:dyDescent="0.3">
      <c r="D197" t="str">
        <v>2025-08-05T04:15:30Z</v>
      </c>
      <c r="E197" t="str">
        <v>polygon_ust_cmt_zero_curve_usd</v>
      </c>
      <c r="F197" t="str">
        <v>H4sIAPrx6WgC/0WNwQ0CQQwDe8l7hZw4cTa0huid0y0Cf8djv4ywJx7IHPziwWXjB5Dzj3oZVTfhlKaq1Nxi72X9HeMOJII5HFRHLfMdx0qHak+2Xy8l3ntHq1A4EC5BTOjSMAde7Zku9CSjhXp/AP4XydW7AAAA</v>
      </c>
    </row>
    <row r="198" spans="4:6" x14ac:dyDescent="0.3">
      <c r="D198" t="str">
        <v>2025-08-06T04:15:30Z</v>
      </c>
      <c r="E198" t="str">
        <v>polygon_ust_cmt_zero_curve_usd</v>
      </c>
      <c r="F198" t="str">
        <v>H4sIAPrx6WgC/0XMSwrDQAwD0LvMOhTZ8jdXK7l73UwgWhjDQ/ouYp34wCz7jcqxWjZQ8YYDDL+FPV9qKSHzjeQzxqxyK4ZBW8OPJaW7ZIJBtsKrQd5zu+UanGMVhSjNfw29UcTKxpmcRYu4fizDtMC6AAAA</v>
      </c>
    </row>
    <row r="199" spans="4:6" x14ac:dyDescent="0.3">
      <c r="D199" t="str">
        <v>2025-08-07T04:15:30Z</v>
      </c>
      <c r="E199" t="str">
        <v>polygon_ust_cmt_zero_curve_usd</v>
      </c>
      <c r="F199" t="str">
        <v>H4sIAPrx6WgC/0WMQQ4CMQzE/tJzhTIzSZrwNbR/p2wR+GrZryEbT3uYe9sPUHM0jhD/woQ5lHEbdSwjTSyoLOdY35mKu/MmIoo1B4qncQi00FJujPftRMGVWNtx4ZPuH6yPBDyjO5PycHRfb/LLjzi5AAAA</v>
      </c>
    </row>
    <row r="200" spans="4:6" x14ac:dyDescent="0.3">
      <c r="D200" t="str">
        <v>2025-08-08T04:15:30Z</v>
      </c>
      <c r="E200" t="str">
        <v>polygon_ust_cmt_zero_curve_usd</v>
      </c>
      <c r="F200" t="str">
        <v>H4sIAPrx6WgC/0WOSQ4CQQwD/9LnEYoTZzFfQ/ydhkYaX0tV8muFrac9jGzdc1xLOCDc7sUGUfkjoWpnF5NIoa/V/1hMhQ8znTKYeC2MH4sQnIN279J82Q4eLyOyGmqfHlltzXQYUBSmLPdRm9H7A+quYBe7AAAA</v>
      </c>
    </row>
    <row r="201" spans="4:6" x14ac:dyDescent="0.3">
      <c r="D201" t="str">
        <v>2025-08-11T04:15:30Z</v>
      </c>
      <c r="E201" t="str">
        <v>polygon_ust_cmt_zero_curve_usd</v>
      </c>
      <c r="F201" t="str">
        <v>H4sIAPrx6WgC/0WNSQoDQQwD/9LnIViWFzlfC/l7munA6CYKlT6Ltt72soiyJ1nXGhxAzpPqa7HyJtwNghk1ZF6r/y6q6IkcsGU1Wwb5GQVaGvcyhdRz684sycYWekYgfD/B5jAgJcUELRUJfH8dti+8uQAAAA==</v>
      </c>
    </row>
    <row r="202" spans="4:6" x14ac:dyDescent="0.3">
      <c r="D202" t="str">
        <v>2025-08-12T04:15:30Z</v>
      </c>
      <c r="E202" t="str">
        <v>polygon_ust_cmt_zero_curve_usd</v>
      </c>
      <c r="F202" t="str">
        <v>H4sIAPrx6WgC/02MQQoDMQwD/5JzKJZlO3K/Vvr3hs3CVifBMPMZtPG2l0Wwn7nP0TiA/gdaMQcrL8Tej70qK0XrOdZdo9yW0KlkhGxLkB8rIKuStRctV+cVPF5yebqchSBhm8H6QEAIgEKqd6C+P6T1ELO9AAAA</v>
      </c>
    </row>
    <row r="203" spans="4:6" x14ac:dyDescent="0.3">
      <c r="D203" t="str">
        <v>2025-08-13T04:15:30Z</v>
      </c>
      <c r="E203" t="str">
        <v>polygon_ust_cmt_zero_curve_usd</v>
      </c>
      <c r="F203" t="str">
        <v>H4sIAPrx6WgC/0WOSQoDQQwD/9LnIdiWFylfC/l7munA6FpUoc+Crbe9LBN6FnEt+QEhewZeC103AVVDK7KRQOa15l/D9DDaJfcabckZx0o3irarEWYVeQePVqGZFgl3ZrK3ZzpwhxgZ3fL9iYXvD9ayMGG8AAAA</v>
      </c>
    </row>
    <row r="204" spans="4:6" x14ac:dyDescent="0.3">
      <c r="D204" t="str">
        <v>2025-08-14T04:15:30Z</v>
      </c>
      <c r="E204" t="str">
        <v>polygon_ust_cmt_zero_curve_usd</v>
      </c>
      <c r="F204" t="str">
        <v>H4sIAPrx6WgC/02NSwpCQRAD7zLrQTqd/sWriXf36QiaVaCo5LFo6243i2j94thLOID2n9qLlR9CRU2RU3M1Re7V3zVOOApNdlg6Yy+MHy1QnXAVWPKZs3i85KUIqrquQm8G04HAIL0BubJC/nwBUyWesr0AAAA=</v>
      </c>
    </row>
    <row r="205" spans="4:6" x14ac:dyDescent="0.3">
      <c r="D205" t="str">
        <v>2025-08-15T04:15:30Z</v>
      </c>
      <c r="E205" t="str">
        <v>polygon_ust_cmt_zero_curve_usd</v>
      </c>
      <c r="F205" t="str">
        <v>H4sIAPrx6WgC/02MSQ4CMAzE/tJzhZJJJgtfQ/ydqEUCXy37tUzWUx7inv0DulfrFSb/xF4WPMY60tTR8EQw98rvzIrgYGxp+sy0cCPHdG1ZkKQoeX43o1tKVFl1qLMnm/w4hUgpDGBpFuP9AW2aPru6AAAA</v>
      </c>
    </row>
    <row r="206" spans="4:6" x14ac:dyDescent="0.3">
      <c r="D206" t="str">
        <v>2025-08-18T04:15:30Z</v>
      </c>
      <c r="E206" t="str">
        <v>polygon_ust_cmt_zero_curve_usd</v>
      </c>
      <c r="F206" t="str">
        <v>H4sIAPrx6WgC/02MQQpCQQxD7zLrj7Rp2mm8mnh3yx9Bswq8vLxW2Hraw8jSL911LfkhAf0jXisqbxSqDZ/BFLT2SPv7F71pgfJKTbOxvHE0wjOLuYXoKN2HR0smfKeczQKVo5kOdDhs5giwcr7fH1pKPAW+AAAA</v>
      </c>
    </row>
    <row r="207" spans="4:6" x14ac:dyDescent="0.3">
      <c r="D207" t="str">
        <v>2025-08-19T04:15:30Z</v>
      </c>
      <c r="E207" t="str">
        <v>polygon_ust_cmt_zero_curve_usd</v>
      </c>
      <c r="F207" t="str">
        <v>H4sIAPrx6WgC/02NQQpCQQxD7zLrjyRN22m9mnh3yx9Bs3rwSPJawnriAffEL5HXah4h/GeEMm6j9qyUKmuoPa61v2uqsDbDiAGva7HstJy5qVAZIwfiHjy1UMPQe7vSG6OIPo5sK4HzRd8Ivj9iu0rFuwAAAA==</v>
      </c>
    </row>
    <row r="208" spans="4:6" x14ac:dyDescent="0.3">
      <c r="D208" t="str">
        <v>2025-08-20T04:15:30Z</v>
      </c>
      <c r="E208" t="str">
        <v>polygon_ust_cmt_zero_curve_usd</v>
      </c>
      <c r="F208" t="str">
        <v>H4sIAPrx6WgC/02MSwpCQRAD7zLrQbo76U+8mry7+3BELLIrKq8FW097GJn2w4N7yY+A/VN7ofJjIFRhRJ97rr36e4ZhgKS6J8Yj9/KJU9Ezo4TIRoTO38kSTQVFSVk+fWemI91nbGQREKPR1xv/gwlnuwAAAA==</v>
      </c>
    </row>
    <row r="209" spans="4:6" x14ac:dyDescent="0.3">
      <c r="D209" t="str">
        <v>2025-08-21T04:15:30Z</v>
      </c>
      <c r="E209" t="str">
        <v>polygon_ust_cmt_zero_curve_usd</v>
      </c>
      <c r="F209" t="str">
        <v>H4sIAPrx6WgC/0XOyw0DQQgD0F44jyLA5pfWovSe0c5qw/XJxh+ByltfSo4+Z44lYwfgf1DYEmRcgukq1e60HqCX1F2GnnCLTG2N4hJrPxm6MVFOVAQ8r7YTCoLYr7erM/YC0zlmewLRzIzC0Of7A8BOT924AAAA</v>
      </c>
    </row>
    <row r="210" spans="4:6" x14ac:dyDescent="0.3">
      <c r="D210" t="str">
        <v>2025-08-22T04:15:30Z</v>
      </c>
      <c r="E210" t="str">
        <v>polygon_ust_cmt_zero_curve_usd</v>
      </c>
      <c r="F210" t="str">
        <v>H4sIAPrx6WgC/0WNSQoDQQwD/9LnIcirrHwt5O9ppgOjk0xR8mcF1hsvZLaezPS1ZIc48cQirxVdNwqh0YMIirXrtfjfC3LSXT1VbdqSjR8rofYs7YcxJvY9eLSKcDloVJbZbA06bF+0gilUbOj7A+SLtrS8AAAA</v>
      </c>
    </row>
    <row r="211" spans="4:6" x14ac:dyDescent="0.3">
      <c r="D211" t="str">
        <v>2025-08-25T04:15:30Z</v>
      </c>
      <c r="E211" t="str">
        <v>polygon_ust_cmt_zero_curve_usd</v>
      </c>
      <c r="F211" t="str">
        <v>H4sIAPrx6WgC/0XNyw0CQQwD0F7mPEJx/qY1RO8EZrXk+mzntUzWUx7iHnIf1PciDij/INZ7WcZPjEhVZ2jAhvaqa8zawCxE04U5gtZTcrg5GSgYLb+PZu/UwoKlGjJhjdHpCQ8CzXJ0ehd6Uu8PXtzsRrsAAAA=</v>
      </c>
    </row>
    <row r="212" spans="4:6" x14ac:dyDescent="0.3">
      <c r="D212" t="str">
        <v>2025-08-26T04:15:30Z</v>
      </c>
      <c r="E212" t="str">
        <v>polygon_ust_cmt_zero_curve_usd</v>
      </c>
      <c r="F212" t="str">
        <v>H4sIAPrx6WgC/0WOSQoDQQwD/9LnJsiWvOVrIX/PMB0YXYsq9FnEeuMFyfEsaq+xA7zmWdtezLgJuyPGwbJQTexV/xgLTEzGJIJ7WftRhM6CVRVUKtddO1KQKZUJdKr90jCH2fVNrQQ1LRt+f60jbz24AAAA</v>
      </c>
    </row>
    <row r="213" spans="4:6" x14ac:dyDescent="0.3">
      <c r="D213" t="str">
        <v>2025-08-27T04:15:30Z</v>
      </c>
      <c r="E213" t="str">
        <v>polygon_ust_cmt_zero_curve_usd</v>
      </c>
      <c r="F213" t="str">
        <v>H4sIAPrx6WgC/0WNSQ4DQQgD/9LnVsRmA/laNH8PmY40PlJ28Vku6y0viTB5gtyr9QBDPwH3cuImXoQpp4B0R++Vf5mzDKGcaQRZM9K5HJ9ozAerknZk3b4zg6smAQqj9CdU6cPUdFgKK+jlEdcXpFh1jboAAAA=</v>
      </c>
    </row>
    <row r="214" spans="4:6" x14ac:dyDescent="0.3">
      <c r="D214" t="str">
        <v>2025-08-28T04:15:30Z</v>
      </c>
      <c r="E214" t="str">
        <v>polygon_ust_cmt_zero_curve_usd</v>
      </c>
      <c r="F214" t="str">
        <v>H4sIAPrx6WgC/0WNXQoDQQiD7+LzUIwaf3q1snfvdKeweTDgR5KPuMpbXxph+oi1ZHCAcR4xl3jyJt7NZFkXoMzcqP5tXgjP6f2v7bYEbScVCivaJJypirvvpGiVNch9dIK/LegcCEwEOqwaVOD6AmQkJgm6AAAA</v>
      </c>
    </row>
    <row r="215" spans="4:6" x14ac:dyDescent="0.3">
      <c r="D215" t="str">
        <v>2025-08-29T04:15:30Z</v>
      </c>
      <c r="E215" t="str">
        <v>polygon_ust_cmt_zero_curve_usd</v>
      </c>
      <c r="F215" t="str">
        <v>H4sIAPrx6WgC/0WNxw3DQBADe7n3weAGbnBrhnv3QifIfDIMP8uw3njBXfBIlHu1nEC1/wrby4JXYhU0sSwDlfC98oZZlLIqvMokpIcm4xze4LOQnBNQ2i/g2VF72l0p0AHkzNAnE50q0GOIF1nfH3HoKGW7AAAA</v>
      </c>
    </row>
    <row r="216" spans="4:6" x14ac:dyDescent="0.3">
      <c r="D216" t="str">
        <v>2025-09-02T04:15:30Z</v>
      </c>
      <c r="E216" t="str">
        <v>polygon_ust_cmt_zero_curve_usd</v>
      </c>
      <c r="F216" t="str">
        <v>H4sIAPrx6WgC/03OQQoDQQhE0bv0egilVrWaq4W5eySdxbiThx8/K7DeeIHRj3G/VtsBe0KC14qtH0VJ1uawCrFG8l+LVDbDJNKpfS0rP0dEeuVsuyWUnd45UyR6isAeGDH0IXNG0qc1D1Ge9xf8d4lvugAAAA==</v>
      </c>
    </row>
    <row r="217" spans="4:6" x14ac:dyDescent="0.3">
      <c r="D217" t="str">
        <v>2025-09-03T04:15:30Z</v>
      </c>
      <c r="E217" t="str">
        <v>polygon_ust_cmt_zero_curve_usd</v>
      </c>
      <c r="F217" t="str">
        <v>H4sIAPrx6WgC/02OSQoDQQwD/+JzEyzLa74W8vc00wMTHVVo+QhV3vpSp8+fsGRwAFof0X0JMy7E3jSDXZ6VnFhSdx1LA+UdNaMD5BK0nZgr2KiG2vaacTWeXFhVKiwxY4x9AzqHwbT2Rw8jck/O9wdQZS++vQAAAA==</v>
      </c>
    </row>
    <row r="218" spans="4:6" x14ac:dyDescent="0.3">
      <c r="D218" t="str">
        <v>2025-09-04T04:15:30Z</v>
      </c>
      <c r="E218" t="str">
        <v>polygon_ust_cmt_zero_curve_usd</v>
      </c>
      <c r="F218" t="str">
        <v>H4sIAPrx6WgC/02NQQ7DQAgD/7LnqMJmYXG/VuXvJZuoqi8cxmM+w2287WXT3X4B8xjCDZD2F8UxPGMjX5rdVYUv07yk9cx5lovMyRlc4cdA8bGUseBWTCKo3IO3FpBY/bKPUNUM/XJDoBTFy+5KuM4vhDCeHb0AAAA=</v>
      </c>
    </row>
    <row r="219" spans="4:6" x14ac:dyDescent="0.3">
      <c r="D219" t="str">
        <v>2025-09-05T04:15:30Z</v>
      </c>
      <c r="E219" t="str">
        <v>polygon_ust_cmt_zero_curve_usd</v>
      </c>
      <c r="F219" t="str">
        <v>H4sIAPrx6WgC/0WOSw5CQQgE78J6YhoYPu3VzLu76LwoYUFSqaZf4pAnHthG/EatllAPQP0BXJd4xpd4tjLSkYXuHKXuME/AUBkRDm7sJdp2W800hjrmp9mHTeDxAjSq0Xt7zeZ44IGqMb0CRau54noDrtkTsbsAAAA=</v>
      </c>
    </row>
    <row r="220" spans="4:6" x14ac:dyDescent="0.3">
      <c r="D220" t="str">
        <v>2025-09-08T04:15:30Z</v>
      </c>
      <c r="E220" t="str">
        <v>polygon_ust_cmt_zero_curve_usd</v>
      </c>
      <c r="F220" t="str">
        <v>H4sIAPrx6WgC/02NSQ7DMAwD/6KzUZCSteVrRf5eww7Q8MLDYMivGOTCB1MD/3jHkOYhfAHo9CEWvpFFMnxWOR3ZPSSfOfOspinhTK8cwtJHqtRE1LSiRljsvaM5qL1eGoU+2urNSKhOy2an9ZLvH/9ymte8AAAA</v>
      </c>
    </row>
    <row r="221" spans="4:6" x14ac:dyDescent="0.3">
      <c r="D221" t="str">
        <v>2025-09-09T04:15:30Z</v>
      </c>
      <c r="E221" t="str">
        <v>polygon_ust_cmt_zero_curve_usd</v>
      </c>
      <c r="F221" t="str">
        <v>H4sIAPrx6WgC/02NSQ4CMRAD/5JzhNru9GK+hvg7YTJC+Giryq/hNp72sMWwX8CaQzgD7C9cMYdnXJMXuOTdpswqzlG3zdNRgqyZrK8NzRvatYdTCkjEpTtUWESTyH1DKDdlOhuAWDKxCrvq9wc8rypSuQAAAA==</v>
      </c>
    </row>
    <row r="222" spans="4:6" x14ac:dyDescent="0.3">
      <c r="D222" t="str">
        <v>2025-09-10T04:15:30Z</v>
      </c>
      <c r="E222" t="str">
        <v>polygon_ust_cmt_zero_curve_usd</v>
      </c>
      <c r="F222" t="str">
        <v>H4sIAPrx6WgC/02OQQ7EMAgD/5JztAKDCd6vrfr3jdoc6qMHRv6NsPG1jyWgV2IO+QOsX32tOaJ4kyjBN/fd92LOsY4sKuAEupKpZZzDG+erRae3p+0L9e07GyQgKCyojL2Nbnqgu0G5dWSmCrz+XuJok7sAAAA=</v>
      </c>
    </row>
    <row r="223" spans="4:6" x14ac:dyDescent="0.3">
      <c r="D223" t="str">
        <v>2025-09-11T04:15:30Z</v>
      </c>
      <c r="E223" t="str">
        <v>polygon_ust_cmt_zero_curve_usd</v>
      </c>
      <c r="F223" t="str">
        <v>H4sIAPrx6WgC/02OSQoDMRAD/+KzCVIvcne+FubvMTOGREcVJfQZjvHGC2GGX4Sco/kQrP6P5nDljVxioiyqgbTYaJ09F7n7WIyUy+dg2bGqhfZGBc2Z99550eG+trMLUhsR/TCinPQlU1hX8voC7qgmY7wAAAA=</v>
      </c>
    </row>
    <row r="224" spans="4:6" x14ac:dyDescent="0.3">
      <c r="D224" t="str">
        <v>2025-09-12T04:15:30Z</v>
      </c>
      <c r="E224" t="str">
        <v>polygon_ust_cmt_zero_curve_usd</v>
      </c>
      <c r="F224" t="str">
        <v>H4sIAPrx6WgC/02MSQoDQQwD/+JzEyTvztfC/D3N9ECik6BU+ohB3njB1eYXjSXDA1Dzn1xiGTeyHKUFgC7triX1vO2FJTf0VuXYErY+0rgptQZeStp9d6wAxxvcSjnDt4U5bBcrzwgjigpeX1cly2S6AAAA</v>
      </c>
    </row>
    <row r="225" spans="4:6" x14ac:dyDescent="0.3">
      <c r="D225" t="str">
        <v>2025-09-15T04:15:30Z</v>
      </c>
      <c r="E225" t="str">
        <v>polygon_ust_cmt_zero_curve_usd</v>
      </c>
      <c r="F225" t="str">
        <v>H4sIAPrx6WgC/0WNWwrDQAwD77LfS5Ffsp2rld69JhuIfgfNfJdhXfjAVfGOiL1aDkH0uxxgjJsYUzJL0IXKSu6Vj85oGm4pCHhV+l5S+txams1JQhI8wnOLSauDNkIWbNjYDxSUkdXW4+5y/f0Bh5nMr70AAAA=</v>
      </c>
    </row>
    <row r="226" spans="4:6" x14ac:dyDescent="0.3">
      <c r="D226" t="str">
        <v>2025-09-16T04:15:30Z</v>
      </c>
      <c r="E226" t="str">
        <v>polygon_ust_cmt_zero_curve_usd</v>
      </c>
      <c r="F226" t="str">
        <v>H4sIAPrx6WgC/02OSw5CQQgE78J6YppfM3g1493l+SZRWLDorgovccgTD4T23xiXtN7B7G+8lzjzm8zVMDfUNhI9TB2bEygyoFWmxlii2w62m5nguFJ5USM6T3S7jclzjFE6FPrOFHXVMzRr+qz3B1j/61K7AAAA</v>
      </c>
    </row>
    <row r="227" spans="4:6" x14ac:dyDescent="0.3">
      <c r="D227" t="str">
        <v>2025-09-17T04:15:30Z</v>
      </c>
      <c r="E227" t="str">
        <v>polygon_ust_cmt_zero_curve_usd</v>
      </c>
      <c r="F227" t="str">
        <v>H4sIAPrx6WgC/02OSQ4CQQwD/5JzCzlbJ+ZriL8TpkcIX8tl+SUOeeKB0MIvalxCPQCGPxJLfOdFfLuiYAxW7yV1T/lW7UyrTJ2u5xJtux369CNAjAi91o6WMLPvjUI3sscCD1O0eW2CzJGb7w9hhrz9uAAAAA==</v>
      </c>
    </row>
    <row r="228" spans="4:6" x14ac:dyDescent="0.3">
      <c r="D228" t="str">
        <v>2025-09-18T04:15:30Z</v>
      </c>
      <c r="E228" t="str">
        <v>polygon_ust_cmt_zero_curve_usd</v>
      </c>
      <c r="F228" t="str">
        <v>H4sIAPrx6WgC/02MOQ7DQAzE/rL1IhgdI43ytcB/j2G7MFuC/K3A+uKDtHnhtdfYLeAvIeNeUbxUVJpnEd5savbq5xZVdLWnSgF47mXypzr31gUTh4G8fndGTLuqIjli91lhbmdmYGoc3e0jHX9fSaLUuwAAAA==</v>
      </c>
    </row>
    <row r="229" spans="4:6" x14ac:dyDescent="0.3">
      <c r="D229" t="str">
        <v>2025-09-19T04:15:30Z</v>
      </c>
      <c r="E229" t="str">
        <v>polygon_ust_cmt_zero_curve_usd</v>
      </c>
      <c r="F229" t="str">
        <v>H4sIAPrx6WgC/02MyQ3DQAzEetn3ItCM7rQWuPcIXj+slzAE+Vsq6ysfMVS/zvZqHCB87QXfS8NvpKEQ7VLOZ4W98qlphFvAvKBMTg1Ff3pi1tXB8GbctSM5RklkzuxWOpL0YQDNu9OTMmHl9Qd8O7umuQAAAA==</v>
      </c>
    </row>
    <row r="230" spans="4:6" x14ac:dyDescent="0.3">
      <c r="D230" t="str">
        <v>2025-09-22T04:15:30Z</v>
      </c>
      <c r="E230" t="str">
        <v>polygon_ust_cmt_zero_curve_usd</v>
      </c>
      <c r="F230" t="str">
        <v>H4sIAPrx6WgC/02MSQoDMRDE/uKzCVVdvTlfC/P3mHgYoquQPkMYb7zgLDzQ1hyLP6H1T2+hjGPSKTWjrFCec9Q9U6GtOhSLTGoOtp3I97AiLTxg1NmdKvYpQwSLYiN2hnUkKa9EtKVtJ15f7IhVHboAAAA=</v>
      </c>
    </row>
    <row r="231" spans="4:6" x14ac:dyDescent="0.3">
      <c r="D231" t="str">
        <v>2025-09-23T04:15:30Z</v>
      </c>
      <c r="E231" t="str">
        <v>polygon_ust_cmt_zero_curve_usd</v>
      </c>
      <c r="F231" t="str">
        <v>H4sIAPrx6WgC/02NSQ4CQQwD/5JzC8VxVr6G+Ds900jgY8rlvIQqT32oI+YXyyWDG3D+07OEGYekg2xEWWn5Vuo7xjRzUtOmuxNL0HYkV43rVEHuTt5zxwqA2cMxgzcuS+cwAGH7F417oL3eH+E0Q065AAAA</v>
      </c>
    </row>
    <row r="232" spans="4:6" x14ac:dyDescent="0.3">
      <c r="D232" t="str">
        <v>2025-09-24T04:15:30Z</v>
      </c>
      <c r="E232" t="str">
        <v>polygon_ust_cmt_zero_curve_usd</v>
      </c>
      <c r="F232" t="str">
        <v>H4sIAPrx6WgC/03MQQ4CMQxD0bt0PUJx0tgJV0PcnTJlNHj75P8aYeNpD5sou0fMYzS2mP/JF4J5SpBge5Z3sLPzGPrlFs3OmWg6ONcJ5Xn1SnIaGAGeuX1KiOo0q1KIWCfrbYCLJbjTk4p+fwC7Ri2RugAAAA==</v>
      </c>
    </row>
    <row r="233" spans="4:6" x14ac:dyDescent="0.3">
      <c r="D233" t="str">
        <v>2025-09-25T04:15:30Z</v>
      </c>
      <c r="E233" t="str">
        <v>polygon_ust_cmt_zero_curve_usd</v>
      </c>
      <c r="F233" t="str">
        <v>H4sIAPrx6WgC/0WMyQ3DQAwDe9F7EVCizrQWuPcsvAZM/TTk/ISQLz5w47yxWDJ6wL43nCXMuAlLLRtNMPbPl9QjY3EMMeQ0m7lE2+LRdWkh3XfDuv32nVkY1DQGBnZl7RnmMFWt7sw9oaebXn+9QXkbugAAAA==</v>
      </c>
    </row>
    <row r="234" spans="4:6" x14ac:dyDescent="0.3">
      <c r="D234" t="str">
        <v>2025-09-26T04:15:30Z</v>
      </c>
      <c r="E234" t="str">
        <v>polygon_ust_cmt_zero_curve_usd</v>
      </c>
      <c r="F234" t="str">
        <v>H4sIAPrx6WgC/03MQQ7DMAhE0bt4bVXAwAC9WpW7F8WRWjYsPrzPgqy3vMTN5DeU2Kv1FPkv6nuBcRekWEDZ7QIhuVc+HNKKKVlRZrOH07J4wO4GKwhwzuIWz18YUMSA2q7R8yZ9mqrlWJ6tQ1Xx+gL03M5KvQAAAA==</v>
      </c>
    </row>
    <row r="235" spans="4:6" x14ac:dyDescent="0.3">
      <c r="D235" t="str">
        <v>2025-09-29T04:15:30Z</v>
      </c>
      <c r="E235" t="str">
        <v>polygon_ust_cmt_zero_curve_usd</v>
      </c>
      <c r="F235" t="str">
        <v>H4sIAPrx6WgC/0WMSwrDQAxD7zLrodjyV71ayd1rMoHIG6OH3m+ZrK98xAF5kxJ7UQ+Ze2PcyzJuYtkQb7IaqY296rFZYWpLl4JKzWZwPLoKZxqlDUbcurMKDWQp0jwB+qyEh83TqoVidLNUrz+XKBlWugAAAA==</v>
      </c>
    </row>
    <row r="236" spans="4:6" x14ac:dyDescent="0.3">
      <c r="D236" t="str">
        <v>2025-09-30T04:15:30Z</v>
      </c>
      <c r="E236" t="str">
        <v>polygon_ust_cmt_zero_curve_usd</v>
      </c>
      <c r="F236" t="str">
        <v>H4sIAPrx6WgC/02NQQoDMQwD/5JzKJIdW3a/VvbvDZuFVkcNGn2GY7zxwmL/xXKO5gEw/MI1h2fcxEXTcoaYucs59Mg8O00Zjm6CW8ayeHRKF5al15Li1p1VUECBBWxqvVfow0iUGtmVzv3I6wu3LQKyuQAAAA==</v>
      </c>
    </row>
    <row r="237" spans="4:6" x14ac:dyDescent="0.3">
      <c r="D237" t="str">
        <v>2025-10-01T04:15:30Z</v>
      </c>
      <c r="E237" t="str">
        <v>polygon_ust_cmt_zero_curve_usd</v>
      </c>
      <c r="F237" t="str">
        <v>H4sIAPrx6WgC/0WMyQ3DMAwEe+FbCLi8VkxrgXuPbMXO8sFjwPmIq7z1pQHqE1gPaWyg2v8kh3jlRVbHWYYI0mIIfzKv8Jqd0RURakMwLW9dKhOuk4yyunz7LbHOvTYWvP00QntDrAnVZsnsGczjC2ZAeZa7AAAA</v>
      </c>
    </row>
    <row r="238" spans="4:6" x14ac:dyDescent="0.3">
      <c r="D238" t="str">
        <v>2025-10-02T04:15:30Z</v>
      </c>
      <c r="E238" t="str">
        <v>polygon_ust_cmt_zero_curve_usd</v>
      </c>
      <c r="F238" t="str">
        <v>H4sIAPrx6WgC/02NSw7DQAhD7zLrqLKBAdyrVb17aRKp9Qak589rOdYTD4SZ/uTHEi8Aw0+MY3nuk8xldESbj+dL6i7zDM8K0NFpA9h2ZyQbv28k201n2xXaaKKspQKZNSnoYvMEtpqzVNOl9wdPoG5NuAAAAA==</v>
      </c>
    </row>
    <row r="239" spans="4:6" x14ac:dyDescent="0.3">
      <c r="D239" t="str">
        <v>2025-10-03T04:15:30Z</v>
      </c>
      <c r="E239" t="str">
        <v>polygon_ust_cmt_zero_curve_usd</v>
      </c>
      <c r="F239" t="str">
        <v>H4sIAPrx6WgC/03NyQ3DQAxD0V7mbASkdqW1wL1H9hhIdH3g12cp1hsvmGj/TvxYzQ2QPyiOaPhNGslKuDGVncfKJzbg1o6rKh0zYYk/OZfyMiES1rxre+UU1YA2qMm8VuhtJEgNcQ7YvDy/Yl4gpbkAAAA=</v>
      </c>
    </row>
    <row r="240" spans="4:6" x14ac:dyDescent="0.3">
      <c r="D240" t="str">
        <v>2025-10-06T04:15:30Z</v>
      </c>
      <c r="E240" t="str">
        <v>polygon_ust_cmt_zero_curve_usd</v>
      </c>
      <c r="F240" t="str">
        <v>H4sIAPrx6WgC/03MWwoDQQhE0b343YSyfLRma2H2HpkeSPTzUucjBnnjBSfxu0QsaT0F/0V9iWXcxbJpRKvNh/aS/WhTMrl71ERWjabFeLyqYlfAzbbz9s4sCDrDK1W7c0bok1TpiNZyxwajri+WGpO4ugAAAA==</v>
      </c>
    </row>
    <row r="241" spans="4:6" x14ac:dyDescent="0.3">
      <c r="D241" t="str">
        <v>2025-10-07T04:15:30Z</v>
      </c>
      <c r="E241" t="str">
        <v>polygon_ust_cmt_zero_curve_usd</v>
      </c>
      <c r="F241" t="str">
        <v>H4sIAPrx6WgC/02OOQ7EMBDD/uLaWEhzT762yN9j2CnClhCh/1CMCz8Y+4PEHM0jgI/wnEPDt9EooTEBq3b4HPnGNMJCWIHoKupSLPG3Z6hSa8kSy7YdPDvfuTBZBxyUNUMfx0WXqJKaVLsfI7AsUboAAAA=</v>
      </c>
    </row>
    <row r="242" spans="4:6" x14ac:dyDescent="0.3">
      <c r="D242" t="str">
        <v>2025-10-08T04:15:30Z</v>
      </c>
      <c r="E242" t="str">
        <v>polygon_ust_cmt_zero_curve_usd</v>
      </c>
      <c r="F242" t="str">
        <v>H4sIAPrx6WgC/03NSQ7DMAxD0bt4bRSkZGro1YrcvUacRbT90ONvOMYXHyz26yzmaJ4AvIJyDg/dxaPNxYaDxCrNkY/mkWImrMMXag6W6eFkiQ6ZkVVxc+dJNDdZy1mk1vaIPnEPJKTy1Ruk6voDV1APDboAAAA=</v>
      </c>
    </row>
    <row r="243" spans="4:6" x14ac:dyDescent="0.3">
      <c r="D243" t="e">
        <v>#N/A</v>
      </c>
      <c r="E243" t="e">
        <v>#N/A</v>
      </c>
      <c r="F243" t="e">
        <v>#N/A</v>
      </c>
    </row>
    <row r="244" spans="4:6" x14ac:dyDescent="0.3">
      <c r="D244" t="e">
        <v>#N/A</v>
      </c>
      <c r="E244" t="e">
        <v>#N/A</v>
      </c>
      <c r="F244" t="e">
        <v>#N/A</v>
      </c>
    </row>
    <row r="245" spans="4:6" x14ac:dyDescent="0.3">
      <c r="D245" t="e">
        <v>#N/A</v>
      </c>
      <c r="E245" t="e">
        <v>#N/A</v>
      </c>
      <c r="F245" t="e">
        <v>#N/A</v>
      </c>
    </row>
    <row r="246" spans="4:6" x14ac:dyDescent="0.3">
      <c r="D246" t="e">
        <v>#N/A</v>
      </c>
      <c r="E246" t="e">
        <v>#N/A</v>
      </c>
      <c r="F246" t="e">
        <v>#N/A</v>
      </c>
    </row>
    <row r="247" spans="4:6" x14ac:dyDescent="0.3">
      <c r="D247" t="e">
        <v>#N/A</v>
      </c>
      <c r="E247" t="e">
        <v>#N/A</v>
      </c>
      <c r="F247" t="e">
        <v>#N/A</v>
      </c>
    </row>
    <row r="248" spans="4:6" x14ac:dyDescent="0.3">
      <c r="D248" t="e">
        <v>#N/A</v>
      </c>
      <c r="E248" t="e">
        <v>#N/A</v>
      </c>
      <c r="F248" t="e">
        <v>#N/A</v>
      </c>
    </row>
    <row r="249" spans="4:6" x14ac:dyDescent="0.3">
      <c r="D249" t="e">
        <v>#N/A</v>
      </c>
      <c r="E249" t="e">
        <v>#N/A</v>
      </c>
      <c r="F249" t="e">
        <v>#N/A</v>
      </c>
    </row>
    <row r="250" spans="4:6" x14ac:dyDescent="0.3">
      <c r="D250" t="e">
        <v>#N/A</v>
      </c>
      <c r="E250" t="e">
        <v>#N/A</v>
      </c>
      <c r="F250" t="e">
        <v>#N/A</v>
      </c>
    </row>
    <row r="251" spans="4:6" x14ac:dyDescent="0.3">
      <c r="D251" t="e">
        <v>#N/A</v>
      </c>
      <c r="E251" t="e">
        <v>#N/A</v>
      </c>
      <c r="F251" t="e">
        <v>#N/A</v>
      </c>
    </row>
    <row r="252" spans="4:6" x14ac:dyDescent="0.3">
      <c r="D252" t="e">
        <v>#N/A</v>
      </c>
      <c r="E252" t="e">
        <v>#N/A</v>
      </c>
      <c r="F252" t="e">
        <v>#N/A</v>
      </c>
    </row>
    <row r="253" spans="4:6" x14ac:dyDescent="0.3">
      <c r="D253" t="e">
        <v>#N/A</v>
      </c>
      <c r="E253" t="e">
        <v>#N/A</v>
      </c>
      <c r="F253" t="e">
        <v>#N/A</v>
      </c>
    </row>
    <row r="254" spans="4:6" x14ac:dyDescent="0.3">
      <c r="D254" t="e">
        <v>#N/A</v>
      </c>
      <c r="E254" t="e">
        <v>#N/A</v>
      </c>
      <c r="F254" t="e">
        <v>#N/A</v>
      </c>
    </row>
    <row r="255" spans="4:6" x14ac:dyDescent="0.3">
      <c r="D255" t="e">
        <v>#N/A</v>
      </c>
      <c r="E255" t="e">
        <v>#N/A</v>
      </c>
      <c r="F255" t="e">
        <v>#N/A</v>
      </c>
    </row>
    <row r="256" spans="4:6" x14ac:dyDescent="0.3">
      <c r="D256" t="e">
        <v>#N/A</v>
      </c>
      <c r="E256" t="e">
        <v>#N/A</v>
      </c>
      <c r="F256" t="e">
        <v>#N/A</v>
      </c>
    </row>
    <row r="257" spans="4:6" x14ac:dyDescent="0.3">
      <c r="D257" t="e">
        <v>#N/A</v>
      </c>
      <c r="E257" t="e">
        <v>#N/A</v>
      </c>
      <c r="F257" t="e">
        <v>#N/A</v>
      </c>
    </row>
    <row r="258" spans="4:6" x14ac:dyDescent="0.3">
      <c r="D258" t="e">
        <v>#N/A</v>
      </c>
      <c r="E258" t="e">
        <v>#N/A</v>
      </c>
      <c r="F258" t="e">
        <v>#N/A</v>
      </c>
    </row>
    <row r="259" spans="4:6" x14ac:dyDescent="0.3">
      <c r="D259" t="e">
        <v>#N/A</v>
      </c>
      <c r="E259" t="e">
        <v>#N/A</v>
      </c>
      <c r="F259" t="e">
        <v>#N/A</v>
      </c>
    </row>
    <row r="260" spans="4:6" x14ac:dyDescent="0.3">
      <c r="D260" t="e">
        <v>#N/A</v>
      </c>
      <c r="E260" t="e">
        <v>#N/A</v>
      </c>
      <c r="F260" t="e">
        <v>#N/A</v>
      </c>
    </row>
    <row r="261" spans="4:6" x14ac:dyDescent="0.3">
      <c r="D261" t="e">
        <v>#N/A</v>
      </c>
      <c r="E261" t="e">
        <v>#N/A</v>
      </c>
      <c r="F261" t="e">
        <v>#N/A</v>
      </c>
    </row>
    <row r="262" spans="4:6" x14ac:dyDescent="0.3">
      <c r="D262" t="e">
        <v>#N/A</v>
      </c>
      <c r="E262" t="e">
        <v>#N/A</v>
      </c>
      <c r="F262" t="e">
        <v>#N/A</v>
      </c>
    </row>
    <row r="263" spans="4:6" x14ac:dyDescent="0.3">
      <c r="D263" t="e">
        <v>#N/A</v>
      </c>
      <c r="E263" t="e">
        <v>#N/A</v>
      </c>
      <c r="F263" t="e">
        <v>#N/A</v>
      </c>
    </row>
    <row r="264" spans="4:6" x14ac:dyDescent="0.3">
      <c r="D264" t="e">
        <v>#N/A</v>
      </c>
      <c r="E264" t="e">
        <v>#N/A</v>
      </c>
      <c r="F264" t="e">
        <v>#N/A</v>
      </c>
    </row>
    <row r="265" spans="4:6" x14ac:dyDescent="0.3">
      <c r="D265" t="e">
        <v>#N/A</v>
      </c>
      <c r="E265" t="e">
        <v>#N/A</v>
      </c>
      <c r="F265" t="e">
        <v>#N/A</v>
      </c>
    </row>
    <row r="266" spans="4:6" x14ac:dyDescent="0.3">
      <c r="D266" t="e">
        <v>#N/A</v>
      </c>
      <c r="E266" t="e">
        <v>#N/A</v>
      </c>
      <c r="F266" t="e">
        <v>#N/A</v>
      </c>
    </row>
    <row r="267" spans="4:6" x14ac:dyDescent="0.3">
      <c r="D267" t="e">
        <v>#N/A</v>
      </c>
      <c r="E267" t="e">
        <v>#N/A</v>
      </c>
      <c r="F267" t="e">
        <v>#N/A</v>
      </c>
    </row>
    <row r="268" spans="4:6" x14ac:dyDescent="0.3">
      <c r="D268" t="e">
        <v>#N/A</v>
      </c>
      <c r="E268" t="e">
        <v>#N/A</v>
      </c>
      <c r="F268" t="e">
        <v>#N/A</v>
      </c>
    </row>
    <row r="269" spans="4:6" x14ac:dyDescent="0.3">
      <c r="D269" t="e">
        <v>#N/A</v>
      </c>
      <c r="E269" t="e">
        <v>#N/A</v>
      </c>
      <c r="F269" t="e">
        <v>#N/A</v>
      </c>
    </row>
    <row r="270" spans="4:6" x14ac:dyDescent="0.3">
      <c r="D270" t="e">
        <v>#N/A</v>
      </c>
      <c r="E270" t="e">
        <v>#N/A</v>
      </c>
      <c r="F270" t="e">
        <v>#N/A</v>
      </c>
    </row>
    <row r="271" spans="4:6" x14ac:dyDescent="0.3">
      <c r="D271" t="e">
        <v>#N/A</v>
      </c>
      <c r="E271" t="e">
        <v>#N/A</v>
      </c>
      <c r="F271" t="e">
        <v>#N/A</v>
      </c>
    </row>
    <row r="272" spans="4:6" x14ac:dyDescent="0.3">
      <c r="D272" t="e">
        <v>#N/A</v>
      </c>
      <c r="E272" t="e">
        <v>#N/A</v>
      </c>
      <c r="F272" t="e">
        <v>#N/A</v>
      </c>
    </row>
    <row r="273" spans="4:6" x14ac:dyDescent="0.3">
      <c r="D273" t="e">
        <v>#N/A</v>
      </c>
      <c r="E273" t="e">
        <v>#N/A</v>
      </c>
      <c r="F273" t="e">
        <v>#N/A</v>
      </c>
    </row>
    <row r="274" spans="4:6" x14ac:dyDescent="0.3">
      <c r="D274" t="e">
        <v>#N/A</v>
      </c>
      <c r="E274" t="e">
        <v>#N/A</v>
      </c>
      <c r="F274" t="e">
        <v>#N/A</v>
      </c>
    </row>
    <row r="275" spans="4:6" x14ac:dyDescent="0.3">
      <c r="D275" t="e">
        <v>#N/A</v>
      </c>
      <c r="E275" t="e">
        <v>#N/A</v>
      </c>
      <c r="F275" t="e">
        <v>#N/A</v>
      </c>
    </row>
    <row r="276" spans="4:6" x14ac:dyDescent="0.3">
      <c r="D276" t="e">
        <v>#N/A</v>
      </c>
      <c r="E276" t="e">
        <v>#N/A</v>
      </c>
      <c r="F276" t="e">
        <v>#N/A</v>
      </c>
    </row>
    <row r="277" spans="4:6" x14ac:dyDescent="0.3">
      <c r="D277" t="e">
        <v>#N/A</v>
      </c>
      <c r="E277" t="e">
        <v>#N/A</v>
      </c>
      <c r="F277" t="e">
        <v>#N/A</v>
      </c>
    </row>
    <row r="278" spans="4:6" x14ac:dyDescent="0.3">
      <c r="D278" t="e">
        <v>#N/A</v>
      </c>
      <c r="E278" t="e">
        <v>#N/A</v>
      </c>
      <c r="F278" t="e">
        <v>#N/A</v>
      </c>
    </row>
    <row r="279" spans="4:6" x14ac:dyDescent="0.3">
      <c r="D279" t="e">
        <v>#N/A</v>
      </c>
      <c r="E279" t="e">
        <v>#N/A</v>
      </c>
      <c r="F279" t="e">
        <v>#N/A</v>
      </c>
    </row>
    <row r="280" spans="4:6" x14ac:dyDescent="0.3">
      <c r="D280" t="e">
        <v>#N/A</v>
      </c>
      <c r="E280" t="e">
        <v>#N/A</v>
      </c>
      <c r="F280" t="e">
        <v>#N/A</v>
      </c>
    </row>
    <row r="281" spans="4:6" x14ac:dyDescent="0.3">
      <c r="D281" t="e">
        <v>#N/A</v>
      </c>
      <c r="E281" t="e">
        <v>#N/A</v>
      </c>
      <c r="F281" t="e">
        <v>#N/A</v>
      </c>
    </row>
    <row r="282" spans="4:6" x14ac:dyDescent="0.3">
      <c r="D282" t="e">
        <v>#N/A</v>
      </c>
      <c r="E282" t="e">
        <v>#N/A</v>
      </c>
      <c r="F282" t="e">
        <v>#N/A</v>
      </c>
    </row>
    <row r="283" spans="4:6" x14ac:dyDescent="0.3">
      <c r="D283" t="e">
        <v>#N/A</v>
      </c>
      <c r="E283" t="e">
        <v>#N/A</v>
      </c>
      <c r="F283" t="e">
        <v>#N/A</v>
      </c>
    </row>
    <row r="284" spans="4:6" x14ac:dyDescent="0.3">
      <c r="D284" t="e">
        <v>#N/A</v>
      </c>
      <c r="E284" t="e">
        <v>#N/A</v>
      </c>
      <c r="F284" t="e">
        <v>#N/A</v>
      </c>
    </row>
    <row r="285" spans="4:6" x14ac:dyDescent="0.3">
      <c r="D285" t="e">
        <v>#N/A</v>
      </c>
      <c r="E285" t="e">
        <v>#N/A</v>
      </c>
      <c r="F285" t="e">
        <v>#N/A</v>
      </c>
    </row>
    <row r="286" spans="4:6" x14ac:dyDescent="0.3">
      <c r="D286" t="e">
        <v>#N/A</v>
      </c>
      <c r="E286" t="e">
        <v>#N/A</v>
      </c>
      <c r="F286" t="e">
        <v>#N/A</v>
      </c>
    </row>
    <row r="287" spans="4:6" x14ac:dyDescent="0.3">
      <c r="D287" t="e">
        <v>#N/A</v>
      </c>
      <c r="E287" t="e">
        <v>#N/A</v>
      </c>
      <c r="F287" t="e">
        <v>#N/A</v>
      </c>
    </row>
    <row r="288" spans="4:6" x14ac:dyDescent="0.3">
      <c r="D288" t="e">
        <v>#N/A</v>
      </c>
      <c r="E288" t="e">
        <v>#N/A</v>
      </c>
      <c r="F288" t="e">
        <v>#N/A</v>
      </c>
    </row>
    <row r="289" spans="4:6" x14ac:dyDescent="0.3">
      <c r="D289" t="e">
        <v>#N/A</v>
      </c>
      <c r="E289" t="e">
        <v>#N/A</v>
      </c>
      <c r="F289" t="e">
        <v>#N/A</v>
      </c>
    </row>
    <row r="290" spans="4:6" x14ac:dyDescent="0.3">
      <c r="D290" t="e">
        <v>#N/A</v>
      </c>
      <c r="E290" t="e">
        <v>#N/A</v>
      </c>
      <c r="F290" t="e">
        <v>#N/A</v>
      </c>
    </row>
    <row r="291" spans="4:6" x14ac:dyDescent="0.3">
      <c r="D291" t="e">
        <v>#N/A</v>
      </c>
      <c r="E291" t="e">
        <v>#N/A</v>
      </c>
      <c r="F291" t="e">
        <v>#N/A</v>
      </c>
    </row>
    <row r="292" spans="4:6" x14ac:dyDescent="0.3">
      <c r="D292" t="e">
        <v>#N/A</v>
      </c>
      <c r="E292" t="e">
        <v>#N/A</v>
      </c>
      <c r="F292" t="e">
        <v>#N/A</v>
      </c>
    </row>
    <row r="293" spans="4:6" x14ac:dyDescent="0.3">
      <c r="D293" t="e">
        <v>#N/A</v>
      </c>
      <c r="E293" t="e">
        <v>#N/A</v>
      </c>
      <c r="F293" t="e">
        <v>#N/A</v>
      </c>
    </row>
    <row r="294" spans="4:6" x14ac:dyDescent="0.3">
      <c r="D294" t="e">
        <v>#N/A</v>
      </c>
      <c r="E294" t="e">
        <v>#N/A</v>
      </c>
      <c r="F294" t="e">
        <v>#N/A</v>
      </c>
    </row>
    <row r="295" spans="4:6" x14ac:dyDescent="0.3">
      <c r="D295" t="e">
        <v>#N/A</v>
      </c>
      <c r="E295" t="e">
        <v>#N/A</v>
      </c>
      <c r="F295" t="e">
        <v>#N/A</v>
      </c>
    </row>
    <row r="296" spans="4:6" x14ac:dyDescent="0.3">
      <c r="D296" t="e">
        <v>#N/A</v>
      </c>
      <c r="E296" t="e">
        <v>#N/A</v>
      </c>
      <c r="F296" t="e">
        <v>#N/A</v>
      </c>
    </row>
    <row r="297" spans="4:6" x14ac:dyDescent="0.3">
      <c r="D297" t="e">
        <v>#N/A</v>
      </c>
      <c r="E297" t="e">
        <v>#N/A</v>
      </c>
      <c r="F297" t="e">
        <v>#N/A</v>
      </c>
    </row>
    <row r="298" spans="4:6" x14ac:dyDescent="0.3">
      <c r="D298" t="e">
        <v>#N/A</v>
      </c>
      <c r="E298" t="e">
        <v>#N/A</v>
      </c>
      <c r="F298" t="e">
        <v>#N/A</v>
      </c>
    </row>
    <row r="299" spans="4:6" x14ac:dyDescent="0.3">
      <c r="D299" t="e">
        <v>#N/A</v>
      </c>
      <c r="E299" t="e">
        <v>#N/A</v>
      </c>
      <c r="F299" t="e">
        <v>#N/A</v>
      </c>
    </row>
    <row r="300" spans="4:6" x14ac:dyDescent="0.3">
      <c r="D300" t="e">
        <v>#N/A</v>
      </c>
      <c r="E300" t="e">
        <v>#N/A</v>
      </c>
      <c r="F300" t="e">
        <v>#N/A</v>
      </c>
    </row>
    <row r="301" spans="4:6" x14ac:dyDescent="0.3">
      <c r="D301" t="e">
        <v>#N/A</v>
      </c>
      <c r="E301" t="e">
        <v>#N/A</v>
      </c>
      <c r="F301" t="e">
        <v>#N/A</v>
      </c>
    </row>
    <row r="302" spans="4:6" x14ac:dyDescent="0.3">
      <c r="D302" t="e">
        <v>#N/A</v>
      </c>
      <c r="E302" t="e">
        <v>#N/A</v>
      </c>
      <c r="F302" t="e">
        <v>#N/A</v>
      </c>
    </row>
    <row r="303" spans="4:6" x14ac:dyDescent="0.3">
      <c r="D303" t="e">
        <v>#N/A</v>
      </c>
      <c r="E303" t="e">
        <v>#N/A</v>
      </c>
      <c r="F303" t="e">
        <v>#N/A</v>
      </c>
    </row>
    <row r="304" spans="4:6" x14ac:dyDescent="0.3">
      <c r="D304" t="e">
        <v>#N/A</v>
      </c>
      <c r="E304" t="e">
        <v>#N/A</v>
      </c>
      <c r="F304" t="e">
        <v>#N/A</v>
      </c>
    </row>
    <row r="305" spans="4:6" x14ac:dyDescent="0.3">
      <c r="D305" t="e">
        <v>#N/A</v>
      </c>
      <c r="E305" t="e">
        <v>#N/A</v>
      </c>
      <c r="F305" t="e">
        <v>#N/A</v>
      </c>
    </row>
    <row r="306" spans="4:6" x14ac:dyDescent="0.3">
      <c r="D306" t="e">
        <v>#N/A</v>
      </c>
      <c r="E306" t="e">
        <v>#N/A</v>
      </c>
      <c r="F306" t="e">
        <v>#N/A</v>
      </c>
    </row>
    <row r="307" spans="4:6" x14ac:dyDescent="0.3">
      <c r="D307" t="e">
        <v>#N/A</v>
      </c>
      <c r="E307" t="e">
        <v>#N/A</v>
      </c>
      <c r="F307" t="e">
        <v>#N/A</v>
      </c>
    </row>
    <row r="308" spans="4:6" x14ac:dyDescent="0.3">
      <c r="D308" t="e">
        <v>#N/A</v>
      </c>
      <c r="E308" t="e">
        <v>#N/A</v>
      </c>
      <c r="F308" t="e">
        <v>#N/A</v>
      </c>
    </row>
    <row r="309" spans="4:6" x14ac:dyDescent="0.3">
      <c r="D309" t="e">
        <v>#N/A</v>
      </c>
      <c r="E309" t="e">
        <v>#N/A</v>
      </c>
      <c r="F309" t="e">
        <v>#N/A</v>
      </c>
    </row>
    <row r="310" spans="4:6" x14ac:dyDescent="0.3">
      <c r="D310" t="e">
        <v>#N/A</v>
      </c>
      <c r="E310" t="e">
        <v>#N/A</v>
      </c>
      <c r="F310" t="e">
        <v>#N/A</v>
      </c>
    </row>
    <row r="311" spans="4:6" x14ac:dyDescent="0.3">
      <c r="D311" t="e">
        <v>#N/A</v>
      </c>
      <c r="E311" t="e">
        <v>#N/A</v>
      </c>
      <c r="F311" t="e">
        <v>#N/A</v>
      </c>
    </row>
    <row r="312" spans="4:6" x14ac:dyDescent="0.3">
      <c r="D312" t="e">
        <v>#N/A</v>
      </c>
      <c r="E312" t="e">
        <v>#N/A</v>
      </c>
      <c r="F312" t="e">
        <v>#N/A</v>
      </c>
    </row>
    <row r="313" spans="4:6" x14ac:dyDescent="0.3">
      <c r="D313" t="e">
        <v>#N/A</v>
      </c>
      <c r="E313" t="e">
        <v>#N/A</v>
      </c>
      <c r="F313" t="e">
        <v>#N/A</v>
      </c>
    </row>
    <row r="314" spans="4:6" x14ac:dyDescent="0.3">
      <c r="D314" t="e">
        <v>#N/A</v>
      </c>
      <c r="E314" t="e">
        <v>#N/A</v>
      </c>
      <c r="F314" t="e">
        <v>#N/A</v>
      </c>
    </row>
    <row r="315" spans="4:6" x14ac:dyDescent="0.3">
      <c r="D315" t="e">
        <v>#N/A</v>
      </c>
      <c r="E315" t="e">
        <v>#N/A</v>
      </c>
      <c r="F315" t="e">
        <v>#N/A</v>
      </c>
    </row>
    <row r="316" spans="4:6" x14ac:dyDescent="0.3">
      <c r="D316" t="e">
        <v>#N/A</v>
      </c>
      <c r="E316" t="e">
        <v>#N/A</v>
      </c>
      <c r="F316" t="e">
        <v>#N/A</v>
      </c>
    </row>
    <row r="317" spans="4:6" x14ac:dyDescent="0.3">
      <c r="D317" t="e">
        <v>#N/A</v>
      </c>
      <c r="E317" t="e">
        <v>#N/A</v>
      </c>
      <c r="F317" t="e">
        <v>#N/A</v>
      </c>
    </row>
    <row r="318" spans="4:6" x14ac:dyDescent="0.3">
      <c r="D318" t="e">
        <v>#N/A</v>
      </c>
      <c r="E318" t="e">
        <v>#N/A</v>
      </c>
      <c r="F318" t="e">
        <v>#N/A</v>
      </c>
    </row>
    <row r="319" spans="4:6" x14ac:dyDescent="0.3">
      <c r="D319" t="e">
        <v>#N/A</v>
      </c>
      <c r="E319" t="e">
        <v>#N/A</v>
      </c>
      <c r="F319" t="e">
        <v>#N/A</v>
      </c>
    </row>
    <row r="320" spans="4:6" x14ac:dyDescent="0.3">
      <c r="D320" t="e">
        <v>#N/A</v>
      </c>
      <c r="E320" t="e">
        <v>#N/A</v>
      </c>
      <c r="F320" t="e">
        <v>#N/A</v>
      </c>
    </row>
    <row r="321" spans="4:6" x14ac:dyDescent="0.3">
      <c r="D321" t="e">
        <v>#N/A</v>
      </c>
      <c r="E321" t="e">
        <v>#N/A</v>
      </c>
      <c r="F321" t="e">
        <v>#N/A</v>
      </c>
    </row>
    <row r="322" spans="4:6" x14ac:dyDescent="0.3">
      <c r="D322" t="e">
        <v>#N/A</v>
      </c>
      <c r="E322" t="e">
        <v>#N/A</v>
      </c>
      <c r="F322" t="e">
        <v>#N/A</v>
      </c>
    </row>
    <row r="323" spans="4:6" x14ac:dyDescent="0.3">
      <c r="D323" t="e">
        <v>#N/A</v>
      </c>
      <c r="E323" t="e">
        <v>#N/A</v>
      </c>
      <c r="F323" t="e">
        <v>#N/A</v>
      </c>
    </row>
    <row r="324" spans="4:6" x14ac:dyDescent="0.3">
      <c r="D324" t="e">
        <v>#N/A</v>
      </c>
      <c r="E324" t="e">
        <v>#N/A</v>
      </c>
      <c r="F324" t="e">
        <v>#N/A</v>
      </c>
    </row>
    <row r="325" spans="4:6" x14ac:dyDescent="0.3">
      <c r="D325" t="e">
        <v>#N/A</v>
      </c>
      <c r="E325" t="e">
        <v>#N/A</v>
      </c>
      <c r="F325" t="e">
        <v>#N/A</v>
      </c>
    </row>
    <row r="326" spans="4:6" x14ac:dyDescent="0.3">
      <c r="D326" t="e">
        <v>#N/A</v>
      </c>
      <c r="E326" t="e">
        <v>#N/A</v>
      </c>
      <c r="F326" t="e">
        <v>#N/A</v>
      </c>
    </row>
    <row r="327" spans="4:6" x14ac:dyDescent="0.3">
      <c r="D327" t="e">
        <v>#N/A</v>
      </c>
      <c r="E327" t="e">
        <v>#N/A</v>
      </c>
      <c r="F327" t="e">
        <v>#N/A</v>
      </c>
    </row>
    <row r="328" spans="4:6" x14ac:dyDescent="0.3">
      <c r="D328" t="e">
        <v>#N/A</v>
      </c>
      <c r="E328" t="e">
        <v>#N/A</v>
      </c>
      <c r="F328" t="e">
        <v>#N/A</v>
      </c>
    </row>
    <row r="329" spans="4:6" x14ac:dyDescent="0.3">
      <c r="D329" t="e">
        <v>#N/A</v>
      </c>
      <c r="E329" t="e">
        <v>#N/A</v>
      </c>
      <c r="F329" t="e">
        <v>#N/A</v>
      </c>
    </row>
    <row r="330" spans="4:6" x14ac:dyDescent="0.3">
      <c r="D330" t="e">
        <v>#N/A</v>
      </c>
      <c r="E330" t="e">
        <v>#N/A</v>
      </c>
      <c r="F330" t="e">
        <v>#N/A</v>
      </c>
    </row>
    <row r="331" spans="4:6" x14ac:dyDescent="0.3">
      <c r="D331" t="e">
        <v>#N/A</v>
      </c>
      <c r="E331" t="e">
        <v>#N/A</v>
      </c>
      <c r="F331" t="e">
        <v>#N/A</v>
      </c>
    </row>
    <row r="332" spans="4:6" x14ac:dyDescent="0.3">
      <c r="D332" t="e">
        <v>#N/A</v>
      </c>
      <c r="E332" t="e">
        <v>#N/A</v>
      </c>
      <c r="F332" t="e">
        <v>#N/A</v>
      </c>
    </row>
    <row r="333" spans="4:6" x14ac:dyDescent="0.3">
      <c r="D333" t="e">
        <v>#N/A</v>
      </c>
      <c r="E333" t="e">
        <v>#N/A</v>
      </c>
      <c r="F333" t="e">
        <v>#N/A</v>
      </c>
    </row>
    <row r="334" spans="4:6" x14ac:dyDescent="0.3">
      <c r="D334" t="e">
        <v>#N/A</v>
      </c>
      <c r="E334" t="e">
        <v>#N/A</v>
      </c>
      <c r="F334" t="e">
        <v>#N/A</v>
      </c>
    </row>
    <row r="335" spans="4:6" x14ac:dyDescent="0.3">
      <c r="D335" t="e">
        <v>#N/A</v>
      </c>
      <c r="E335" t="e">
        <v>#N/A</v>
      </c>
      <c r="F335" t="e">
        <v>#N/A</v>
      </c>
    </row>
    <row r="336" spans="4:6" x14ac:dyDescent="0.3">
      <c r="D336" t="e">
        <v>#N/A</v>
      </c>
      <c r="E336" t="e">
        <v>#N/A</v>
      </c>
      <c r="F336" t="e">
        <v>#N/A</v>
      </c>
    </row>
    <row r="337" spans="4:6" x14ac:dyDescent="0.3">
      <c r="D337" t="e">
        <v>#N/A</v>
      </c>
      <c r="E337" t="e">
        <v>#N/A</v>
      </c>
      <c r="F337" t="e">
        <v>#N/A</v>
      </c>
    </row>
    <row r="338" spans="4:6" x14ac:dyDescent="0.3">
      <c r="D338" t="e">
        <v>#N/A</v>
      </c>
      <c r="E338" t="e">
        <v>#N/A</v>
      </c>
      <c r="F338" t="e">
        <v>#N/A</v>
      </c>
    </row>
    <row r="339" spans="4:6" x14ac:dyDescent="0.3">
      <c r="D339" t="e">
        <v>#N/A</v>
      </c>
      <c r="E339" t="e">
        <v>#N/A</v>
      </c>
      <c r="F339" t="e">
        <v>#N/A</v>
      </c>
    </row>
    <row r="340" spans="4:6" x14ac:dyDescent="0.3">
      <c r="D340" t="e">
        <v>#N/A</v>
      </c>
      <c r="E340" t="e">
        <v>#N/A</v>
      </c>
      <c r="F340" t="e">
        <v>#N/A</v>
      </c>
    </row>
    <row r="341" spans="4:6" x14ac:dyDescent="0.3">
      <c r="D341" t="e">
        <v>#N/A</v>
      </c>
      <c r="E341" t="e">
        <v>#N/A</v>
      </c>
      <c r="F341" t="e">
        <v>#N/A</v>
      </c>
    </row>
    <row r="342" spans="4:6" x14ac:dyDescent="0.3">
      <c r="D342" t="e">
        <v>#N/A</v>
      </c>
      <c r="E342" t="e">
        <v>#N/A</v>
      </c>
      <c r="F342" t="e">
        <v>#N/A</v>
      </c>
    </row>
    <row r="343" spans="4:6" x14ac:dyDescent="0.3">
      <c r="D343" t="e">
        <v>#N/A</v>
      </c>
      <c r="E343" t="e">
        <v>#N/A</v>
      </c>
      <c r="F343" t="e">
        <v>#N/A</v>
      </c>
    </row>
    <row r="344" spans="4:6" x14ac:dyDescent="0.3">
      <c r="D344" t="e">
        <v>#N/A</v>
      </c>
      <c r="E344" t="e">
        <v>#N/A</v>
      </c>
      <c r="F344" t="e">
        <v>#N/A</v>
      </c>
    </row>
    <row r="345" spans="4:6" x14ac:dyDescent="0.3">
      <c r="D345" t="e">
        <v>#N/A</v>
      </c>
      <c r="E345" t="e">
        <v>#N/A</v>
      </c>
      <c r="F345" t="e">
        <v>#N/A</v>
      </c>
    </row>
    <row r="346" spans="4:6" x14ac:dyDescent="0.3">
      <c r="D346" t="e">
        <v>#N/A</v>
      </c>
      <c r="E346" t="e">
        <v>#N/A</v>
      </c>
      <c r="F346" t="e">
        <v>#N/A</v>
      </c>
    </row>
    <row r="347" spans="4:6" x14ac:dyDescent="0.3">
      <c r="D347" t="e">
        <v>#N/A</v>
      </c>
      <c r="E347" t="e">
        <v>#N/A</v>
      </c>
      <c r="F347" t="e">
        <v>#N/A</v>
      </c>
    </row>
    <row r="348" spans="4:6" x14ac:dyDescent="0.3">
      <c r="D348" t="e">
        <v>#N/A</v>
      </c>
      <c r="E348" t="e">
        <v>#N/A</v>
      </c>
      <c r="F348" t="e">
        <v>#N/A</v>
      </c>
    </row>
    <row r="349" spans="4:6" x14ac:dyDescent="0.3">
      <c r="D349" t="e">
        <v>#N/A</v>
      </c>
      <c r="E349" t="e">
        <v>#N/A</v>
      </c>
      <c r="F349" t="e">
        <v>#N/A</v>
      </c>
    </row>
    <row r="350" spans="4:6" x14ac:dyDescent="0.3">
      <c r="D350" t="e">
        <v>#N/A</v>
      </c>
      <c r="E350" t="e">
        <v>#N/A</v>
      </c>
      <c r="F350" t="e">
        <v>#N/A</v>
      </c>
    </row>
    <row r="351" spans="4:6" x14ac:dyDescent="0.3">
      <c r="D351" t="e">
        <v>#N/A</v>
      </c>
      <c r="E351" t="e">
        <v>#N/A</v>
      </c>
      <c r="F351" t="e">
        <v>#N/A</v>
      </c>
    </row>
    <row r="352" spans="4:6" x14ac:dyDescent="0.3">
      <c r="D352" t="e">
        <v>#N/A</v>
      </c>
      <c r="E352" t="e">
        <v>#N/A</v>
      </c>
      <c r="F352" t="e">
        <v>#N/A</v>
      </c>
    </row>
    <row r="353" spans="4:6" x14ac:dyDescent="0.3">
      <c r="D353" t="e">
        <v>#N/A</v>
      </c>
      <c r="E353" t="e">
        <v>#N/A</v>
      </c>
      <c r="F353" t="e">
        <v>#N/A</v>
      </c>
    </row>
    <row r="354" spans="4:6" x14ac:dyDescent="0.3">
      <c r="D354" t="e">
        <v>#N/A</v>
      </c>
      <c r="E354" t="e">
        <v>#N/A</v>
      </c>
      <c r="F354" t="e">
        <v>#N/A</v>
      </c>
    </row>
    <row r="355" spans="4:6" x14ac:dyDescent="0.3">
      <c r="D355" t="e">
        <v>#N/A</v>
      </c>
      <c r="E355" t="e">
        <v>#N/A</v>
      </c>
      <c r="F355" t="e">
        <v>#N/A</v>
      </c>
    </row>
    <row r="356" spans="4:6" x14ac:dyDescent="0.3">
      <c r="D356" t="e">
        <v>#N/A</v>
      </c>
      <c r="E356" t="e">
        <v>#N/A</v>
      </c>
      <c r="F356" t="e">
        <v>#N/A</v>
      </c>
    </row>
    <row r="357" spans="4:6" x14ac:dyDescent="0.3">
      <c r="D357" t="e">
        <v>#N/A</v>
      </c>
      <c r="E357" t="e">
        <v>#N/A</v>
      </c>
      <c r="F357" t="e">
        <v>#N/A</v>
      </c>
    </row>
    <row r="358" spans="4:6" x14ac:dyDescent="0.3">
      <c r="D358" t="e">
        <v>#N/A</v>
      </c>
      <c r="E358" t="e">
        <v>#N/A</v>
      </c>
      <c r="F358" t="e">
        <v>#N/A</v>
      </c>
    </row>
    <row r="359" spans="4:6" x14ac:dyDescent="0.3">
      <c r="D359" t="e">
        <v>#N/A</v>
      </c>
      <c r="E359" t="e">
        <v>#N/A</v>
      </c>
      <c r="F359" t="e">
        <v>#N/A</v>
      </c>
    </row>
    <row r="360" spans="4:6" x14ac:dyDescent="0.3">
      <c r="D360" t="e">
        <v>#N/A</v>
      </c>
      <c r="E360" t="e">
        <v>#N/A</v>
      </c>
      <c r="F360" t="e">
        <v>#N/A</v>
      </c>
    </row>
    <row r="361" spans="4:6" x14ac:dyDescent="0.3">
      <c r="D361" t="e">
        <v>#N/A</v>
      </c>
      <c r="E361" t="e">
        <v>#N/A</v>
      </c>
      <c r="F361" t="e">
        <v>#N/A</v>
      </c>
    </row>
    <row r="362" spans="4:6" x14ac:dyDescent="0.3">
      <c r="D362" t="e">
        <v>#N/A</v>
      </c>
      <c r="E362" t="e">
        <v>#N/A</v>
      </c>
      <c r="F362" t="e">
        <v>#N/A</v>
      </c>
    </row>
    <row r="363" spans="4:6" x14ac:dyDescent="0.3">
      <c r="D363" t="e">
        <v>#N/A</v>
      </c>
      <c r="E363" t="e">
        <v>#N/A</v>
      </c>
      <c r="F363" t="e">
        <v>#N/A</v>
      </c>
    </row>
    <row r="364" spans="4:6" x14ac:dyDescent="0.3">
      <c r="D364" t="e">
        <v>#N/A</v>
      </c>
      <c r="E364" t="e">
        <v>#N/A</v>
      </c>
      <c r="F364" t="e">
        <v>#N/A</v>
      </c>
    </row>
    <row r="365" spans="4:6" x14ac:dyDescent="0.3">
      <c r="D365" t="e">
        <v>#N/A</v>
      </c>
      <c r="E365" t="e">
        <v>#N/A</v>
      </c>
      <c r="F365" t="e">
        <v>#N/A</v>
      </c>
    </row>
    <row r="366" spans="4:6" x14ac:dyDescent="0.3">
      <c r="D366" t="e">
        <v>#N/A</v>
      </c>
      <c r="E366" t="e">
        <v>#N/A</v>
      </c>
      <c r="F366" t="e">
        <v>#N/A</v>
      </c>
    </row>
    <row r="367" spans="4:6" x14ac:dyDescent="0.3">
      <c r="D367" t="e">
        <v>#N/A</v>
      </c>
      <c r="E367" t="e">
        <v>#N/A</v>
      </c>
      <c r="F367" t="e">
        <v>#N/A</v>
      </c>
    </row>
    <row r="368" spans="4:6" x14ac:dyDescent="0.3">
      <c r="D368" t="e">
        <v>#N/A</v>
      </c>
      <c r="E368" t="e">
        <v>#N/A</v>
      </c>
      <c r="F368" t="e">
        <v>#N/A</v>
      </c>
    </row>
    <row r="369" spans="4:6" x14ac:dyDescent="0.3">
      <c r="D369" t="e">
        <v>#N/A</v>
      </c>
      <c r="E369" t="e">
        <v>#N/A</v>
      </c>
      <c r="F369" t="e">
        <v>#N/A</v>
      </c>
    </row>
    <row r="370" spans="4:6" x14ac:dyDescent="0.3">
      <c r="D370" t="e">
        <v>#N/A</v>
      </c>
      <c r="E370" t="e">
        <v>#N/A</v>
      </c>
      <c r="F370" t="e">
        <v>#N/A</v>
      </c>
    </row>
    <row r="371" spans="4:6" x14ac:dyDescent="0.3">
      <c r="D371" t="e">
        <v>#N/A</v>
      </c>
      <c r="E371" t="e">
        <v>#N/A</v>
      </c>
      <c r="F371" t="e">
        <v>#N/A</v>
      </c>
    </row>
    <row r="372" spans="4:6" x14ac:dyDescent="0.3">
      <c r="D372" t="e">
        <v>#N/A</v>
      </c>
      <c r="E372" t="e">
        <v>#N/A</v>
      </c>
      <c r="F372" t="e">
        <v>#N/A</v>
      </c>
    </row>
    <row r="373" spans="4:6" x14ac:dyDescent="0.3">
      <c r="D373" t="e">
        <v>#N/A</v>
      </c>
      <c r="E373" t="e">
        <v>#N/A</v>
      </c>
      <c r="F373" t="e">
        <v>#N/A</v>
      </c>
    </row>
    <row r="374" spans="4:6" x14ac:dyDescent="0.3">
      <c r="D374" t="e">
        <v>#N/A</v>
      </c>
      <c r="E374" t="e">
        <v>#N/A</v>
      </c>
      <c r="F374" t="e">
        <v>#N/A</v>
      </c>
    </row>
    <row r="375" spans="4:6" x14ac:dyDescent="0.3">
      <c r="D375" t="e">
        <v>#N/A</v>
      </c>
      <c r="E375" t="e">
        <v>#N/A</v>
      </c>
      <c r="F375" t="e">
        <v>#N/A</v>
      </c>
    </row>
    <row r="376" spans="4:6" x14ac:dyDescent="0.3">
      <c r="D376" t="e">
        <v>#N/A</v>
      </c>
      <c r="E376" t="e">
        <v>#N/A</v>
      </c>
      <c r="F376" t="e">
        <v>#N/A</v>
      </c>
    </row>
    <row r="377" spans="4:6" x14ac:dyDescent="0.3">
      <c r="D377" t="e">
        <v>#N/A</v>
      </c>
      <c r="E377" t="e">
        <v>#N/A</v>
      </c>
      <c r="F377" t="e">
        <v>#N/A</v>
      </c>
    </row>
    <row r="378" spans="4:6" x14ac:dyDescent="0.3">
      <c r="D378" t="e">
        <v>#N/A</v>
      </c>
      <c r="E378" t="e">
        <v>#N/A</v>
      </c>
      <c r="F378" t="e">
        <v>#N/A</v>
      </c>
    </row>
    <row r="379" spans="4:6" x14ac:dyDescent="0.3">
      <c r="D379" t="e">
        <v>#N/A</v>
      </c>
      <c r="E379" t="e">
        <v>#N/A</v>
      </c>
      <c r="F379" t="e">
        <v>#N/A</v>
      </c>
    </row>
    <row r="380" spans="4:6" x14ac:dyDescent="0.3">
      <c r="D380" t="e">
        <v>#N/A</v>
      </c>
      <c r="E380" t="e">
        <v>#N/A</v>
      </c>
      <c r="F380" t="e">
        <v>#N/A</v>
      </c>
    </row>
    <row r="381" spans="4:6" x14ac:dyDescent="0.3">
      <c r="D381" t="e">
        <v>#N/A</v>
      </c>
      <c r="E381" t="e">
        <v>#N/A</v>
      </c>
      <c r="F381" t="e">
        <v>#N/A</v>
      </c>
    </row>
    <row r="382" spans="4:6" x14ac:dyDescent="0.3">
      <c r="D382" t="e">
        <v>#N/A</v>
      </c>
      <c r="E382" t="e">
        <v>#N/A</v>
      </c>
      <c r="F382" t="e">
        <v>#N/A</v>
      </c>
    </row>
    <row r="383" spans="4:6" x14ac:dyDescent="0.3">
      <c r="D383" t="e">
        <v>#N/A</v>
      </c>
      <c r="E383" t="e">
        <v>#N/A</v>
      </c>
      <c r="F383" t="e">
        <v>#N/A</v>
      </c>
    </row>
    <row r="384" spans="4:6" x14ac:dyDescent="0.3">
      <c r="D384" t="e">
        <v>#N/A</v>
      </c>
      <c r="E384" t="e">
        <v>#N/A</v>
      </c>
      <c r="F384" t="e">
        <v>#N/A</v>
      </c>
    </row>
    <row r="385" spans="4:6" x14ac:dyDescent="0.3">
      <c r="D385" t="e">
        <v>#N/A</v>
      </c>
      <c r="E385" t="e">
        <v>#N/A</v>
      </c>
      <c r="F385" t="e">
        <v>#N/A</v>
      </c>
    </row>
    <row r="386" spans="4:6" x14ac:dyDescent="0.3">
      <c r="D386" t="e">
        <v>#N/A</v>
      </c>
      <c r="E386" t="e">
        <v>#N/A</v>
      </c>
      <c r="F386" t="e">
        <v>#N/A</v>
      </c>
    </row>
    <row r="387" spans="4:6" x14ac:dyDescent="0.3">
      <c r="D387" t="e">
        <v>#N/A</v>
      </c>
      <c r="E387" t="e">
        <v>#N/A</v>
      </c>
      <c r="F387" t="e">
        <v>#N/A</v>
      </c>
    </row>
    <row r="388" spans="4:6" x14ac:dyDescent="0.3">
      <c r="D388" t="e">
        <v>#N/A</v>
      </c>
      <c r="E388" t="e">
        <v>#N/A</v>
      </c>
      <c r="F388" t="e">
        <v>#N/A</v>
      </c>
    </row>
    <row r="389" spans="4:6" x14ac:dyDescent="0.3">
      <c r="D389" t="e">
        <v>#N/A</v>
      </c>
      <c r="E389" t="e">
        <v>#N/A</v>
      </c>
      <c r="F389" t="e">
        <v>#N/A</v>
      </c>
    </row>
    <row r="390" spans="4:6" x14ac:dyDescent="0.3">
      <c r="D390" t="e">
        <v>#N/A</v>
      </c>
      <c r="E390" t="e">
        <v>#N/A</v>
      </c>
      <c r="F390" t="e">
        <v>#N/A</v>
      </c>
    </row>
    <row r="391" spans="4:6" x14ac:dyDescent="0.3">
      <c r="D391" t="e">
        <v>#N/A</v>
      </c>
      <c r="E391" t="e">
        <v>#N/A</v>
      </c>
      <c r="F391" t="e">
        <v>#N/A</v>
      </c>
    </row>
    <row r="392" spans="4:6" x14ac:dyDescent="0.3">
      <c r="D392" t="e">
        <v>#N/A</v>
      </c>
      <c r="E392" t="e">
        <v>#N/A</v>
      </c>
      <c r="F392" t="e">
        <v>#N/A</v>
      </c>
    </row>
    <row r="393" spans="4:6" x14ac:dyDescent="0.3">
      <c r="D393" t="e">
        <v>#N/A</v>
      </c>
      <c r="E393" t="e">
        <v>#N/A</v>
      </c>
      <c r="F393" t="e">
        <v>#N/A</v>
      </c>
    </row>
    <row r="394" spans="4:6" x14ac:dyDescent="0.3">
      <c r="D394" t="e">
        <v>#N/A</v>
      </c>
      <c r="E394" t="e">
        <v>#N/A</v>
      </c>
      <c r="F394" t="e">
        <v>#N/A</v>
      </c>
    </row>
    <row r="395" spans="4:6" x14ac:dyDescent="0.3">
      <c r="D395" t="e">
        <v>#N/A</v>
      </c>
      <c r="E395" t="e">
        <v>#N/A</v>
      </c>
      <c r="F395" t="e">
        <v>#N/A</v>
      </c>
    </row>
    <row r="396" spans="4:6" x14ac:dyDescent="0.3">
      <c r="D396" t="e">
        <v>#N/A</v>
      </c>
      <c r="E396" t="e">
        <v>#N/A</v>
      </c>
      <c r="F396" t="e">
        <v>#N/A</v>
      </c>
    </row>
    <row r="397" spans="4:6" x14ac:dyDescent="0.3">
      <c r="D397" t="e">
        <v>#N/A</v>
      </c>
      <c r="E397" t="e">
        <v>#N/A</v>
      </c>
      <c r="F397" t="e">
        <v>#N/A</v>
      </c>
    </row>
    <row r="398" spans="4:6" x14ac:dyDescent="0.3">
      <c r="D398" t="e">
        <v>#N/A</v>
      </c>
      <c r="E398" t="e">
        <v>#N/A</v>
      </c>
      <c r="F398" t="e">
        <v>#N/A</v>
      </c>
    </row>
    <row r="399" spans="4:6" x14ac:dyDescent="0.3">
      <c r="D399" t="e">
        <v>#N/A</v>
      </c>
      <c r="E399" t="e">
        <v>#N/A</v>
      </c>
      <c r="F399" t="e">
        <v>#N/A</v>
      </c>
    </row>
    <row r="400" spans="4:6" x14ac:dyDescent="0.3">
      <c r="D400" t="e">
        <v>#N/A</v>
      </c>
      <c r="E400" t="e">
        <v>#N/A</v>
      </c>
      <c r="F400" t="e">
        <v>#N/A</v>
      </c>
    </row>
    <row r="401" spans="4:6" x14ac:dyDescent="0.3">
      <c r="D401" t="e">
        <v>#N/A</v>
      </c>
      <c r="E401" t="e">
        <v>#N/A</v>
      </c>
      <c r="F401" t="e">
        <v>#N/A</v>
      </c>
    </row>
    <row r="402" spans="4:6" x14ac:dyDescent="0.3">
      <c r="D402" t="e">
        <v>#N/A</v>
      </c>
      <c r="E402" t="e">
        <v>#N/A</v>
      </c>
      <c r="F402" t="e">
        <v>#N/A</v>
      </c>
    </row>
    <row r="403" spans="4:6" x14ac:dyDescent="0.3">
      <c r="D403" t="e">
        <v>#N/A</v>
      </c>
      <c r="E403" t="e">
        <v>#N/A</v>
      </c>
      <c r="F403" t="e">
        <v>#N/A</v>
      </c>
    </row>
    <row r="404" spans="4:6" x14ac:dyDescent="0.3">
      <c r="D404" t="e">
        <v>#N/A</v>
      </c>
      <c r="E404" t="e">
        <v>#N/A</v>
      </c>
      <c r="F404" t="e">
        <v>#N/A</v>
      </c>
    </row>
    <row r="405" spans="4:6" x14ac:dyDescent="0.3">
      <c r="D405" t="e">
        <v>#N/A</v>
      </c>
      <c r="E405" t="e">
        <v>#N/A</v>
      </c>
      <c r="F405" t="e">
        <v>#N/A</v>
      </c>
    </row>
    <row r="406" spans="4:6" x14ac:dyDescent="0.3">
      <c r="D406" t="e">
        <v>#N/A</v>
      </c>
      <c r="E406" t="e">
        <v>#N/A</v>
      </c>
      <c r="F406" t="e">
        <v>#N/A</v>
      </c>
    </row>
    <row r="407" spans="4:6" x14ac:dyDescent="0.3">
      <c r="D407" t="e">
        <v>#N/A</v>
      </c>
      <c r="E407" t="e">
        <v>#N/A</v>
      </c>
      <c r="F407" t="e">
        <v>#N/A</v>
      </c>
    </row>
    <row r="408" spans="4:6" x14ac:dyDescent="0.3">
      <c r="D408" t="e">
        <v>#N/A</v>
      </c>
      <c r="E408" t="e">
        <v>#N/A</v>
      </c>
      <c r="F408" t="e">
        <v>#N/A</v>
      </c>
    </row>
    <row r="409" spans="4:6" x14ac:dyDescent="0.3">
      <c r="D409" t="e">
        <v>#N/A</v>
      </c>
      <c r="E409" t="e">
        <v>#N/A</v>
      </c>
      <c r="F409" t="e">
        <v>#N/A</v>
      </c>
    </row>
    <row r="410" spans="4:6" x14ac:dyDescent="0.3">
      <c r="D410" t="e">
        <v>#N/A</v>
      </c>
      <c r="E410" t="e">
        <v>#N/A</v>
      </c>
      <c r="F410" t="e">
        <v>#N/A</v>
      </c>
    </row>
    <row r="411" spans="4:6" x14ac:dyDescent="0.3">
      <c r="D411" t="e">
        <v>#N/A</v>
      </c>
      <c r="E411" t="e">
        <v>#N/A</v>
      </c>
      <c r="F411" t="e">
        <v>#N/A</v>
      </c>
    </row>
    <row r="412" spans="4:6" x14ac:dyDescent="0.3">
      <c r="D412" t="e">
        <v>#N/A</v>
      </c>
      <c r="E412" t="e">
        <v>#N/A</v>
      </c>
      <c r="F412" t="e">
        <v>#N/A</v>
      </c>
    </row>
    <row r="413" spans="4:6" x14ac:dyDescent="0.3">
      <c r="D413" t="e">
        <v>#N/A</v>
      </c>
      <c r="E413" t="e">
        <v>#N/A</v>
      </c>
      <c r="F413" t="e">
        <v>#N/A</v>
      </c>
    </row>
    <row r="414" spans="4:6" x14ac:dyDescent="0.3">
      <c r="D414" t="e">
        <v>#N/A</v>
      </c>
      <c r="E414" t="e">
        <v>#N/A</v>
      </c>
      <c r="F414" t="e">
        <v>#N/A</v>
      </c>
    </row>
    <row r="415" spans="4:6" x14ac:dyDescent="0.3">
      <c r="D415" t="e">
        <v>#N/A</v>
      </c>
      <c r="E415" t="e">
        <v>#N/A</v>
      </c>
      <c r="F415" t="e">
        <v>#N/A</v>
      </c>
    </row>
    <row r="416" spans="4:6" x14ac:dyDescent="0.3">
      <c r="D416" t="e">
        <v>#N/A</v>
      </c>
      <c r="E416" t="e">
        <v>#N/A</v>
      </c>
      <c r="F416" t="e">
        <v>#N/A</v>
      </c>
    </row>
    <row r="417" spans="4:6" x14ac:dyDescent="0.3">
      <c r="D417" t="e">
        <v>#N/A</v>
      </c>
      <c r="E417" t="e">
        <v>#N/A</v>
      </c>
      <c r="F417" t="e">
        <v>#N/A</v>
      </c>
    </row>
    <row r="418" spans="4:6" x14ac:dyDescent="0.3">
      <c r="D418" t="e">
        <v>#N/A</v>
      </c>
      <c r="E418" t="e">
        <v>#N/A</v>
      </c>
      <c r="F418" t="e">
        <v>#N/A</v>
      </c>
    </row>
    <row r="419" spans="4:6" x14ac:dyDescent="0.3">
      <c r="D419" t="e">
        <v>#N/A</v>
      </c>
      <c r="E419" t="e">
        <v>#N/A</v>
      </c>
      <c r="F419" t="e">
        <v>#N/A</v>
      </c>
    </row>
    <row r="420" spans="4:6" x14ac:dyDescent="0.3">
      <c r="D420" t="e">
        <v>#N/A</v>
      </c>
      <c r="E420" t="e">
        <v>#N/A</v>
      </c>
      <c r="F420" t="e">
        <v>#N/A</v>
      </c>
    </row>
    <row r="421" spans="4:6" x14ac:dyDescent="0.3">
      <c r="D421" t="e">
        <v>#N/A</v>
      </c>
      <c r="E421" t="e">
        <v>#N/A</v>
      </c>
      <c r="F421" t="e">
        <v>#N/A</v>
      </c>
    </row>
    <row r="422" spans="4:6" x14ac:dyDescent="0.3">
      <c r="D422" t="e">
        <v>#N/A</v>
      </c>
      <c r="E422" t="e">
        <v>#N/A</v>
      </c>
      <c r="F422" t="e">
        <v>#N/A</v>
      </c>
    </row>
    <row r="423" spans="4:6" x14ac:dyDescent="0.3">
      <c r="D423" t="e">
        <v>#N/A</v>
      </c>
      <c r="E423" t="e">
        <v>#N/A</v>
      </c>
      <c r="F423" t="e">
        <v>#N/A</v>
      </c>
    </row>
    <row r="424" spans="4:6" x14ac:dyDescent="0.3">
      <c r="D424" t="e">
        <v>#N/A</v>
      </c>
      <c r="E424" t="e">
        <v>#N/A</v>
      </c>
      <c r="F424" t="e">
        <v>#N/A</v>
      </c>
    </row>
    <row r="425" spans="4:6" x14ac:dyDescent="0.3">
      <c r="D425" t="e">
        <v>#N/A</v>
      </c>
      <c r="E425" t="e">
        <v>#N/A</v>
      </c>
      <c r="F425" t="e">
        <v>#N/A</v>
      </c>
    </row>
    <row r="426" spans="4:6" x14ac:dyDescent="0.3">
      <c r="D426" t="e">
        <v>#N/A</v>
      </c>
      <c r="E426" t="e">
        <v>#N/A</v>
      </c>
      <c r="F426" t="e">
        <v>#N/A</v>
      </c>
    </row>
    <row r="427" spans="4:6" x14ac:dyDescent="0.3">
      <c r="D427" t="e">
        <v>#N/A</v>
      </c>
      <c r="E427" t="e">
        <v>#N/A</v>
      </c>
      <c r="F427" t="e">
        <v>#N/A</v>
      </c>
    </row>
    <row r="428" spans="4:6" x14ac:dyDescent="0.3">
      <c r="D428" t="e">
        <v>#N/A</v>
      </c>
      <c r="E428" t="e">
        <v>#N/A</v>
      </c>
      <c r="F428" t="e">
        <v>#N/A</v>
      </c>
    </row>
    <row r="429" spans="4:6" x14ac:dyDescent="0.3">
      <c r="D429" t="e">
        <v>#N/A</v>
      </c>
      <c r="E429" t="e">
        <v>#N/A</v>
      </c>
      <c r="F429" t="e">
        <v>#N/A</v>
      </c>
    </row>
    <row r="430" spans="4:6" x14ac:dyDescent="0.3">
      <c r="D430" t="e">
        <v>#N/A</v>
      </c>
      <c r="E430" t="e">
        <v>#N/A</v>
      </c>
      <c r="F430" t="e">
        <v>#N/A</v>
      </c>
    </row>
    <row r="431" spans="4:6" x14ac:dyDescent="0.3">
      <c r="D431" t="e">
        <v>#N/A</v>
      </c>
      <c r="E431" t="e">
        <v>#N/A</v>
      </c>
      <c r="F431" t="e">
        <v>#N/A</v>
      </c>
    </row>
    <row r="432" spans="4:6" x14ac:dyDescent="0.3">
      <c r="D432" t="e">
        <v>#N/A</v>
      </c>
      <c r="E432" t="e">
        <v>#N/A</v>
      </c>
      <c r="F432" t="e">
        <v>#N/A</v>
      </c>
    </row>
    <row r="433" spans="4:6" x14ac:dyDescent="0.3">
      <c r="D433" t="e">
        <v>#N/A</v>
      </c>
      <c r="E433" t="e">
        <v>#N/A</v>
      </c>
      <c r="F433" t="e">
        <v>#N/A</v>
      </c>
    </row>
    <row r="434" spans="4:6" x14ac:dyDescent="0.3">
      <c r="D434" t="e">
        <v>#N/A</v>
      </c>
      <c r="E434" t="e">
        <v>#N/A</v>
      </c>
      <c r="F434" t="e">
        <v>#N/A</v>
      </c>
    </row>
    <row r="435" spans="4:6" x14ac:dyDescent="0.3">
      <c r="D435" t="e">
        <v>#N/A</v>
      </c>
      <c r="E435" t="e">
        <v>#N/A</v>
      </c>
      <c r="F435" t="e">
        <v>#N/A</v>
      </c>
    </row>
    <row r="436" spans="4:6" x14ac:dyDescent="0.3">
      <c r="D436" t="e">
        <v>#N/A</v>
      </c>
      <c r="E436" t="e">
        <v>#N/A</v>
      </c>
      <c r="F436" t="e">
        <v>#N/A</v>
      </c>
    </row>
    <row r="437" spans="4:6" x14ac:dyDescent="0.3">
      <c r="D437" t="e">
        <v>#N/A</v>
      </c>
      <c r="E437" t="e">
        <v>#N/A</v>
      </c>
      <c r="F437" t="e">
        <v>#N/A</v>
      </c>
    </row>
    <row r="438" spans="4:6" x14ac:dyDescent="0.3">
      <c r="D438" t="e">
        <v>#N/A</v>
      </c>
      <c r="E438" t="e">
        <v>#N/A</v>
      </c>
      <c r="F438" t="e">
        <v>#N/A</v>
      </c>
    </row>
    <row r="439" spans="4:6" x14ac:dyDescent="0.3">
      <c r="D439" t="e">
        <v>#N/A</v>
      </c>
      <c r="E439" t="e">
        <v>#N/A</v>
      </c>
      <c r="F439" t="e">
        <v>#N/A</v>
      </c>
    </row>
    <row r="440" spans="4:6" x14ac:dyDescent="0.3">
      <c r="D440" t="e">
        <v>#N/A</v>
      </c>
      <c r="E440" t="e">
        <v>#N/A</v>
      </c>
      <c r="F44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746E-9382-4BFB-A196-00E3F2BA55DA}">
  <dimension ref="A1:E105"/>
  <sheetViews>
    <sheetView workbookViewId="0">
      <selection activeCell="E19" sqref="E19"/>
    </sheetView>
  </sheetViews>
  <sheetFormatPr defaultRowHeight="14.4" x14ac:dyDescent="0.3"/>
  <cols>
    <col min="1" max="1" width="11.6640625" style="8" customWidth="1"/>
    <col min="2" max="2" width="26.88671875" style="8" customWidth="1"/>
    <col min="3" max="3" width="13.21875" style="8" customWidth="1"/>
    <col min="4" max="4" width="14.44140625" style="8" customWidth="1"/>
    <col min="5" max="5" width="43.5546875" style="8" customWidth="1"/>
    <col min="6" max="16384" width="8.88671875" style="8"/>
  </cols>
  <sheetData>
    <row r="1" spans="1:5" x14ac:dyDescent="0.3">
      <c r="A1" s="7" t="s">
        <v>21</v>
      </c>
      <c r="B1" s="7" t="s">
        <v>22</v>
      </c>
      <c r="C1" s="7" t="s">
        <v>27</v>
      </c>
      <c r="D1" s="7" t="s">
        <v>32</v>
      </c>
      <c r="E1" s="7" t="s">
        <v>23</v>
      </c>
    </row>
    <row r="2" spans="1:5" ht="46.8" customHeight="1" x14ac:dyDescent="0.3">
      <c r="A2" s="9">
        <v>46038</v>
      </c>
      <c r="B2" s="8" t="s">
        <v>20</v>
      </c>
      <c r="C2" s="8" t="s">
        <v>30</v>
      </c>
      <c r="D2" s="8" t="b">
        <v>1</v>
      </c>
      <c r="E2" s="8" t="s">
        <v>28</v>
      </c>
    </row>
    <row r="3" spans="1:5" ht="46.8" customHeight="1" x14ac:dyDescent="0.3">
      <c r="A3" s="9">
        <v>46038</v>
      </c>
      <c r="B3" s="8" t="s">
        <v>24</v>
      </c>
      <c r="C3" s="8" t="s">
        <v>30</v>
      </c>
      <c r="D3" s="8" t="b">
        <v>1</v>
      </c>
      <c r="E3" s="8" t="s">
        <v>28</v>
      </c>
    </row>
    <row r="4" spans="1:5" ht="46.8" customHeight="1" x14ac:dyDescent="0.3">
      <c r="A4" s="9">
        <v>46038</v>
      </c>
      <c r="B4" s="8" t="s">
        <v>24</v>
      </c>
      <c r="C4" s="8" t="s">
        <v>31</v>
      </c>
      <c r="D4" s="8" t="b">
        <v>0</v>
      </c>
      <c r="E4" s="8" t="s">
        <v>33</v>
      </c>
    </row>
    <row r="5" spans="1:5" ht="46.8" customHeight="1" x14ac:dyDescent="0.3">
      <c r="A5" s="9">
        <v>46038</v>
      </c>
      <c r="B5" s="8" t="s">
        <v>25</v>
      </c>
      <c r="C5" s="8" t="s">
        <v>30</v>
      </c>
      <c r="D5" s="8" t="b">
        <v>1</v>
      </c>
      <c r="E5" s="8" t="s">
        <v>28</v>
      </c>
    </row>
    <row r="6" spans="1:5" ht="46.8" customHeight="1" x14ac:dyDescent="0.3">
      <c r="A6" s="9">
        <v>46038</v>
      </c>
      <c r="B6" s="8" t="s">
        <v>26</v>
      </c>
      <c r="C6" s="8" t="s">
        <v>30</v>
      </c>
      <c r="D6" s="8" t="b">
        <v>1</v>
      </c>
      <c r="E6" s="8" t="s">
        <v>28</v>
      </c>
    </row>
    <row r="7" spans="1:5" ht="46.8" customHeight="1" x14ac:dyDescent="0.3"/>
    <row r="8" spans="1:5" ht="46.8" customHeight="1" x14ac:dyDescent="0.3"/>
    <row r="9" spans="1:5" ht="46.8" customHeight="1" x14ac:dyDescent="0.3"/>
    <row r="10" spans="1:5" ht="46.8" customHeight="1" x14ac:dyDescent="0.3"/>
    <row r="11" spans="1:5" ht="46.8" customHeight="1" x14ac:dyDescent="0.3"/>
    <row r="12" spans="1:5" ht="46.8" customHeight="1" x14ac:dyDescent="0.3"/>
    <row r="13" spans="1:5" ht="46.8" customHeight="1" x14ac:dyDescent="0.3"/>
    <row r="14" spans="1:5" ht="46.8" customHeight="1" x14ac:dyDescent="0.3"/>
    <row r="15" spans="1:5" ht="46.8" customHeight="1" x14ac:dyDescent="0.3"/>
    <row r="16" spans="1:5" ht="46.8" customHeight="1" x14ac:dyDescent="0.3"/>
    <row r="17" ht="46.8" customHeight="1" x14ac:dyDescent="0.3"/>
    <row r="18" ht="46.8" customHeight="1" x14ac:dyDescent="0.3"/>
    <row r="19" ht="46.8" customHeight="1" x14ac:dyDescent="0.3"/>
    <row r="20" ht="46.8" customHeight="1" x14ac:dyDescent="0.3"/>
    <row r="21" ht="46.8" customHeight="1" x14ac:dyDescent="0.3"/>
    <row r="22" ht="46.8" customHeight="1" x14ac:dyDescent="0.3"/>
    <row r="23" ht="46.8" customHeight="1" x14ac:dyDescent="0.3"/>
    <row r="24" ht="46.8" customHeight="1" x14ac:dyDescent="0.3"/>
    <row r="25" ht="46.8" customHeight="1" x14ac:dyDescent="0.3"/>
    <row r="26" ht="46.8" customHeight="1" x14ac:dyDescent="0.3"/>
    <row r="27" ht="46.8" customHeight="1" x14ac:dyDescent="0.3"/>
    <row r="28" ht="46.8" customHeight="1" x14ac:dyDescent="0.3"/>
    <row r="29" ht="46.8" customHeight="1" x14ac:dyDescent="0.3"/>
    <row r="30" ht="46.8" customHeight="1" x14ac:dyDescent="0.3"/>
    <row r="31" ht="46.8" customHeight="1" x14ac:dyDescent="0.3"/>
    <row r="32" ht="46.8" customHeight="1" x14ac:dyDescent="0.3"/>
    <row r="33" ht="46.8" customHeight="1" x14ac:dyDescent="0.3"/>
    <row r="34" ht="46.8" customHeight="1" x14ac:dyDescent="0.3"/>
    <row r="35" ht="46.8" customHeight="1" x14ac:dyDescent="0.3"/>
    <row r="36" ht="46.8" customHeight="1" x14ac:dyDescent="0.3"/>
    <row r="37" ht="46.8" customHeight="1" x14ac:dyDescent="0.3"/>
    <row r="38" ht="46.8" customHeight="1" x14ac:dyDescent="0.3"/>
    <row r="39" ht="46.8" customHeight="1" x14ac:dyDescent="0.3"/>
    <row r="40" ht="46.8" customHeight="1" x14ac:dyDescent="0.3"/>
    <row r="41" ht="46.8" customHeight="1" x14ac:dyDescent="0.3"/>
    <row r="42" ht="46.8" customHeight="1" x14ac:dyDescent="0.3"/>
    <row r="43" ht="46.8" customHeight="1" x14ac:dyDescent="0.3"/>
    <row r="44" ht="46.8" customHeight="1" x14ac:dyDescent="0.3"/>
    <row r="45" ht="46.8" customHeight="1" x14ac:dyDescent="0.3"/>
    <row r="46" ht="46.8" customHeight="1" x14ac:dyDescent="0.3"/>
    <row r="47" ht="46.8" customHeight="1" x14ac:dyDescent="0.3"/>
    <row r="48" ht="46.8" customHeight="1" x14ac:dyDescent="0.3"/>
    <row r="49" ht="46.8" customHeight="1" x14ac:dyDescent="0.3"/>
    <row r="50" ht="46.8" customHeight="1" x14ac:dyDescent="0.3"/>
    <row r="51" ht="46.8" customHeight="1" x14ac:dyDescent="0.3"/>
    <row r="52" ht="46.8" customHeight="1" x14ac:dyDescent="0.3"/>
    <row r="53" ht="46.8" customHeight="1" x14ac:dyDescent="0.3"/>
    <row r="54" ht="46.8" customHeight="1" x14ac:dyDescent="0.3"/>
    <row r="55" ht="46.8" customHeight="1" x14ac:dyDescent="0.3"/>
    <row r="56" ht="46.8" customHeight="1" x14ac:dyDescent="0.3"/>
    <row r="57" ht="46.8" customHeight="1" x14ac:dyDescent="0.3"/>
    <row r="58" ht="46.8" customHeight="1" x14ac:dyDescent="0.3"/>
    <row r="59" ht="46.8" customHeight="1" x14ac:dyDescent="0.3"/>
    <row r="60" ht="46.8" customHeight="1" x14ac:dyDescent="0.3"/>
    <row r="61" ht="46.8" customHeight="1" x14ac:dyDescent="0.3"/>
    <row r="62" ht="46.8" customHeight="1" x14ac:dyDescent="0.3"/>
    <row r="63" ht="46.8" customHeight="1" x14ac:dyDescent="0.3"/>
    <row r="64" ht="46.8" customHeight="1" x14ac:dyDescent="0.3"/>
    <row r="65" ht="46.8" customHeight="1" x14ac:dyDescent="0.3"/>
    <row r="66" ht="46.8" customHeight="1" x14ac:dyDescent="0.3"/>
    <row r="67" ht="46.8" customHeight="1" x14ac:dyDescent="0.3"/>
    <row r="68" ht="46.8" customHeight="1" x14ac:dyDescent="0.3"/>
    <row r="69" ht="46.8" customHeight="1" x14ac:dyDescent="0.3"/>
    <row r="70" ht="46.8" customHeight="1" x14ac:dyDescent="0.3"/>
    <row r="71" ht="46.8" customHeight="1" x14ac:dyDescent="0.3"/>
    <row r="72" ht="46.8" customHeight="1" x14ac:dyDescent="0.3"/>
    <row r="73" ht="46.8" customHeight="1" x14ac:dyDescent="0.3"/>
    <row r="74" ht="46.8" customHeight="1" x14ac:dyDescent="0.3"/>
    <row r="75" ht="46.8" customHeight="1" x14ac:dyDescent="0.3"/>
    <row r="76" ht="46.8" customHeight="1" x14ac:dyDescent="0.3"/>
    <row r="77" ht="46.8" customHeight="1" x14ac:dyDescent="0.3"/>
    <row r="78" ht="46.8" customHeight="1" x14ac:dyDescent="0.3"/>
    <row r="79" ht="46.8" customHeight="1" x14ac:dyDescent="0.3"/>
    <row r="80" ht="46.8" customHeight="1" x14ac:dyDescent="0.3"/>
    <row r="81" ht="46.8" customHeight="1" x14ac:dyDescent="0.3"/>
    <row r="82" ht="46.8" customHeight="1" x14ac:dyDescent="0.3"/>
    <row r="83" ht="46.8" customHeight="1" x14ac:dyDescent="0.3"/>
    <row r="84" ht="46.8" customHeight="1" x14ac:dyDescent="0.3"/>
    <row r="85" ht="46.8" customHeight="1" x14ac:dyDescent="0.3"/>
    <row r="86" ht="46.8" customHeight="1" x14ac:dyDescent="0.3"/>
    <row r="87" ht="46.8" customHeight="1" x14ac:dyDescent="0.3"/>
    <row r="88" ht="46.8" customHeight="1" x14ac:dyDescent="0.3"/>
    <row r="89" ht="46.8" customHeight="1" x14ac:dyDescent="0.3"/>
    <row r="90" ht="46.8" customHeight="1" x14ac:dyDescent="0.3"/>
    <row r="91" ht="46.8" customHeight="1" x14ac:dyDescent="0.3"/>
    <row r="92" ht="46.8" customHeight="1" x14ac:dyDescent="0.3"/>
    <row r="93" ht="46.8" customHeight="1" x14ac:dyDescent="0.3"/>
    <row r="94" ht="46.8" customHeight="1" x14ac:dyDescent="0.3"/>
    <row r="95" ht="46.8" customHeight="1" x14ac:dyDescent="0.3"/>
    <row r="96" ht="46.8" customHeight="1" x14ac:dyDescent="0.3"/>
    <row r="97" ht="46.8" customHeight="1" x14ac:dyDescent="0.3"/>
    <row r="98" ht="46.8" customHeight="1" x14ac:dyDescent="0.3"/>
    <row r="99" ht="46.8" customHeight="1" x14ac:dyDescent="0.3"/>
    <row r="100" ht="46.8" customHeight="1" x14ac:dyDescent="0.3"/>
    <row r="101" ht="46.8" customHeight="1" x14ac:dyDescent="0.3"/>
    <row r="102" ht="46.8" customHeight="1" x14ac:dyDescent="0.3"/>
    <row r="103" ht="46.8" customHeight="1" x14ac:dyDescent="0.3"/>
    <row r="104" ht="46.8" customHeight="1" x14ac:dyDescent="0.3"/>
    <row r="105" ht="46.8" customHeigh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data_from_identifier</vt:lpstr>
      <vt:lpstr>Quantlib_example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Alatorre Sanchez</dc:creator>
  <cp:lastModifiedBy>Ameer Usman Ali Khan</cp:lastModifiedBy>
  <dcterms:created xsi:type="dcterms:W3CDTF">2025-12-22T16:03:11Z</dcterms:created>
  <dcterms:modified xsi:type="dcterms:W3CDTF">2026-01-16T07:49:56Z</dcterms:modified>
</cp:coreProperties>
</file>